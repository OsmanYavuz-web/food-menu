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2505" windowWidth="14805" windowHeight="5610" tabRatio="871" activeTab="5"/>
  </bookViews>
  <sheets>
    <sheet name="SELF MENÜ (5)" sheetId="65" r:id="rId1"/>
    <sheet name="ALAKART DİKEY (2)" sheetId="67" r:id="rId2"/>
    <sheet name="ALAKART YATAY (1)" sheetId="66" r:id="rId3"/>
    <sheet name="YEMEK ETİKET (1)" sheetId="57" r:id="rId4"/>
    <sheet name="MEZELER (3)" sheetId="68" r:id="rId5"/>
    <sheet name="İÇECEKLER (1)" sheetId="69" r:id="rId6"/>
    <sheet name="DEKANLIK MENÜ (1)" sheetId="70" r:id="rId7"/>
    <sheet name="PİDE SELF (3)" sheetId="71" r:id="rId8"/>
  </sheets>
  <definedNames>
    <definedName name="AC">'ALAKART DİKEY (2)'!$UV:$UV</definedName>
    <definedName name="TRİLEÇE" localSheetId="0">'SELF MENÜ (5)'!#REF!</definedName>
    <definedName name="TRİLEÇE">#REF!</definedName>
    <definedName name="_xlnm.Print_Area" localSheetId="7">'PİDE SELF (3)'!$A$1:$F$33</definedName>
    <definedName name="_xlnm.Print_Area" localSheetId="0">'SELF MENÜ (5)'!$A$3:$F$43</definedName>
    <definedName name="_xlnm.Print_Area" localSheetId="3">'YEMEK ETİKET (1)'!$A$1:$B$26</definedName>
  </definedNames>
  <calcPr calcId="152511"/>
</workbook>
</file>

<file path=xl/calcChain.xml><?xml version="1.0" encoding="utf-8"?>
<calcChain xmlns="http://schemas.openxmlformats.org/spreadsheetml/2006/main">
  <c r="A1" i="57" l="1"/>
  <c r="A3" i="57"/>
  <c r="E31" i="67" l="1"/>
  <c r="E29" i="67" l="1"/>
  <c r="E31" i="66" l="1"/>
  <c r="E30" i="70" l="1"/>
  <c r="F30" i="70"/>
  <c r="A11" i="57" l="1"/>
  <c r="F22" i="71"/>
  <c r="E22" i="71"/>
  <c r="B38" i="66"/>
  <c r="B39" i="66"/>
  <c r="B40" i="66"/>
  <c r="B41" i="66"/>
  <c r="B42" i="66"/>
  <c r="A36" i="67"/>
  <c r="A37" i="66" s="1"/>
  <c r="B26" i="70" l="1"/>
  <c r="A26" i="70"/>
  <c r="A25" i="67"/>
  <c r="B5" i="57" l="1"/>
  <c r="A31" i="67" l="1"/>
  <c r="A32" i="66" s="1"/>
  <c r="A32" i="67"/>
  <c r="A33" i="66" s="1"/>
  <c r="A33" i="67"/>
  <c r="A34" i="66" s="1"/>
  <c r="A34" i="67"/>
  <c r="A35" i="66" s="1"/>
  <c r="A35" i="67"/>
  <c r="A36" i="66" s="1"/>
  <c r="A37" i="67"/>
  <c r="A38" i="66" s="1"/>
  <c r="A38" i="67"/>
  <c r="A39" i="66" s="1"/>
  <c r="A39" i="67"/>
  <c r="A40" i="66" s="1"/>
  <c r="A40" i="67"/>
  <c r="A41" i="66" s="1"/>
  <c r="A41" i="67"/>
  <c r="A42" i="66" s="1"/>
  <c r="A42" i="67"/>
  <c r="A43" i="67"/>
  <c r="A30" i="67"/>
  <c r="A31" i="66" s="1"/>
  <c r="A20" i="70" l="1"/>
  <c r="A15" i="70" l="1"/>
  <c r="A13" i="57" l="1"/>
  <c r="B11" i="57"/>
  <c r="B9" i="57"/>
  <c r="A9" i="57"/>
  <c r="B7" i="57"/>
  <c r="A7" i="57"/>
  <c r="A5" i="57"/>
  <c r="B3" i="57"/>
  <c r="B1" i="57"/>
  <c r="A19" i="67"/>
  <c r="A14" i="67"/>
  <c r="E29" i="70" l="1"/>
  <c r="F29" i="70"/>
  <c r="A3" i="70" l="1"/>
  <c r="B21" i="70"/>
  <c r="B20" i="70"/>
  <c r="A21" i="70"/>
  <c r="B14" i="70"/>
  <c r="B15" i="70"/>
  <c r="B16" i="70"/>
  <c r="B17" i="70"/>
  <c r="B13" i="70"/>
  <c r="A16" i="70"/>
  <c r="B8" i="70"/>
  <c r="B9" i="70"/>
  <c r="A8" i="70"/>
  <c r="A9" i="70"/>
  <c r="A14" i="70"/>
  <c r="A13" i="70"/>
  <c r="B7" i="70"/>
  <c r="A7" i="70"/>
  <c r="I6" i="68" l="1"/>
  <c r="B6" i="68"/>
  <c r="A26" i="66"/>
  <c r="B36" i="66" l="1"/>
  <c r="B37" i="66"/>
  <c r="T20" i="69" l="1"/>
  <c r="K20" i="69"/>
  <c r="A3" i="67"/>
  <c r="A3" i="66" s="1"/>
  <c r="F37" i="66"/>
  <c r="F38" i="66"/>
  <c r="F39" i="66"/>
  <c r="F36" i="66"/>
  <c r="E37" i="66"/>
  <c r="E38" i="66"/>
  <c r="E39" i="66"/>
  <c r="E36" i="66"/>
  <c r="F33" i="66"/>
  <c r="F32" i="66"/>
  <c r="F31" i="66"/>
  <c r="F29" i="66"/>
  <c r="F12" i="67"/>
  <c r="F13" i="66" s="1"/>
  <c r="F13" i="67"/>
  <c r="F14" i="66" s="1"/>
  <c r="F14" i="67"/>
  <c r="F15" i="66" s="1"/>
  <c r="F15" i="67"/>
  <c r="F16" i="66" s="1"/>
  <c r="F16" i="67"/>
  <c r="F17" i="66" s="1"/>
  <c r="F17" i="67"/>
  <c r="F18" i="66" s="1"/>
  <c r="F18" i="67"/>
  <c r="F19" i="66" s="1"/>
  <c r="F19" i="67"/>
  <c r="F20" i="66" s="1"/>
  <c r="F20" i="67"/>
  <c r="F21" i="66" s="1"/>
  <c r="F21" i="67"/>
  <c r="F22" i="66" s="1"/>
  <c r="F22" i="67"/>
  <c r="F23" i="66" s="1"/>
  <c r="F23" i="67"/>
  <c r="F24" i="66" s="1"/>
  <c r="F11" i="67"/>
  <c r="F12" i="66" s="1"/>
  <c r="E12" i="67"/>
  <c r="E13" i="66" s="1"/>
  <c r="E13" i="67"/>
  <c r="E14" i="66" s="1"/>
  <c r="E14" i="67"/>
  <c r="E15" i="66" s="1"/>
  <c r="E15" i="67"/>
  <c r="E16" i="66" s="1"/>
  <c r="E16" i="67"/>
  <c r="E17" i="66" s="1"/>
  <c r="E17" i="67"/>
  <c r="E18" i="66" s="1"/>
  <c r="E18" i="67"/>
  <c r="E19" i="66" s="1"/>
  <c r="E19" i="67"/>
  <c r="E20" i="66" s="1"/>
  <c r="E20" i="67"/>
  <c r="E21" i="66" s="1"/>
  <c r="E21" i="67"/>
  <c r="E22" i="66" s="1"/>
  <c r="E22" i="67"/>
  <c r="E23" i="66" s="1"/>
  <c r="E23" i="67"/>
  <c r="E24" i="66" s="1"/>
  <c r="E11" i="67"/>
  <c r="E12" i="66" s="1"/>
  <c r="F7" i="67"/>
  <c r="F8" i="66" s="1"/>
  <c r="F8" i="67"/>
  <c r="F9" i="66" s="1"/>
  <c r="F6" i="67"/>
  <c r="F7" i="66" s="1"/>
  <c r="E7" i="67"/>
  <c r="E8" i="66" s="1"/>
  <c r="E8" i="67"/>
  <c r="E9" i="66" s="1"/>
  <c r="E6" i="67"/>
  <c r="E7" i="66" s="1"/>
  <c r="B32" i="66"/>
  <c r="B33" i="66"/>
  <c r="B34" i="66"/>
  <c r="B35" i="66"/>
  <c r="B43" i="66"/>
  <c r="B31" i="66"/>
  <c r="A43" i="66"/>
  <c r="E33" i="67"/>
  <c r="E33" i="66" s="1"/>
  <c r="E32" i="67"/>
  <c r="E32" i="66" s="1"/>
  <c r="E29" i="66"/>
  <c r="B27" i="66"/>
  <c r="B28" i="66"/>
  <c r="B26" i="66"/>
  <c r="B21" i="66"/>
  <c r="B22" i="66"/>
  <c r="B23" i="66"/>
  <c r="B20" i="66"/>
  <c r="B14" i="66"/>
  <c r="B15" i="66"/>
  <c r="B16" i="66"/>
  <c r="B17" i="66"/>
  <c r="B13" i="66"/>
  <c r="A26" i="67"/>
  <c r="A27" i="66" s="1"/>
  <c r="A27" i="67"/>
  <c r="A28" i="66" s="1"/>
  <c r="A20" i="67"/>
  <c r="A21" i="66" s="1"/>
  <c r="A21" i="67"/>
  <c r="A22" i="66" s="1"/>
  <c r="A22" i="67"/>
  <c r="A23" i="66" s="1"/>
  <c r="A20" i="66"/>
  <c r="A13" i="67"/>
  <c r="A14" i="66" s="1"/>
  <c r="A15" i="66"/>
  <c r="A15" i="67"/>
  <c r="A16" i="66" s="1"/>
  <c r="A16" i="67"/>
  <c r="A17" i="66" s="1"/>
  <c r="A12" i="67"/>
  <c r="A13" i="66" s="1"/>
  <c r="B8" i="66"/>
  <c r="B9" i="66"/>
  <c r="B10" i="66"/>
  <c r="B7" i="66"/>
  <c r="A6" i="67"/>
  <c r="A7" i="66" s="1"/>
  <c r="A8" i="67"/>
  <c r="A9" i="66" s="1"/>
  <c r="A9" i="67"/>
  <c r="A10" i="66" s="1"/>
  <c r="A7" i="67"/>
  <c r="A8" i="66" s="1"/>
  <c r="B15" i="57"/>
  <c r="B13" i="57"/>
  <c r="A15" i="57"/>
</calcChain>
</file>

<file path=xl/sharedStrings.xml><?xml version="1.0" encoding="utf-8"?>
<sst xmlns="http://schemas.openxmlformats.org/spreadsheetml/2006/main" count="163" uniqueCount="80">
  <si>
    <t xml:space="preserve"> </t>
  </si>
  <si>
    <t>İÇECEKLER</t>
  </si>
  <si>
    <t>EKMEKLER</t>
  </si>
  <si>
    <t>PİLAV &amp; MAKARNA</t>
  </si>
  <si>
    <t>ÇORBALAR</t>
  </si>
  <si>
    <t>ANA YEMEKLER</t>
  </si>
  <si>
    <t>ROL EKMEK</t>
  </si>
  <si>
    <t>SU</t>
  </si>
  <si>
    <t>AYRAN</t>
  </si>
  <si>
    <t>TATLI</t>
  </si>
  <si>
    <t>KOLA KUTU</t>
  </si>
  <si>
    <t>FANTA KUTU</t>
  </si>
  <si>
    <t>AYRAN 300 GR</t>
  </si>
  <si>
    <t>GAZOZ KUTU</t>
  </si>
  <si>
    <t>KOLA KUTU ZERO</t>
  </si>
  <si>
    <t>MEYVE SUYU KUTU</t>
  </si>
  <si>
    <t>SOĞUK ÇAY KUTU</t>
  </si>
  <si>
    <t>SODA MEYVELİ</t>
  </si>
  <si>
    <t>SODA SADE</t>
  </si>
  <si>
    <t>ŞALGAM</t>
  </si>
  <si>
    <t>SU 0,5 LT</t>
  </si>
  <si>
    <t>CACIK</t>
  </si>
  <si>
    <t>SALATA</t>
  </si>
  <si>
    <t xml:space="preserve">BEYTEPE SOSYAL TESİS MÜDÜRLÜĞÜ  </t>
  </si>
  <si>
    <t>SELF MENÜ</t>
  </si>
  <si>
    <t>,</t>
  </si>
  <si>
    <t>ZEYTİNYAĞLILAR VE SOĞUKLAR</t>
  </si>
  <si>
    <t>PEMBE SULTAN</t>
  </si>
  <si>
    <t xml:space="preserve">TAVUK KANAT </t>
  </si>
  <si>
    <t>ALAKART MENÜ</t>
  </si>
  <si>
    <t>ŞALGAM SUYU</t>
  </si>
  <si>
    <t xml:space="preserve">   </t>
  </si>
  <si>
    <t>SADE SODA</t>
  </si>
  <si>
    <t>P</t>
  </si>
  <si>
    <t xml:space="preserve">YOĞURT KASE 200 GR     </t>
  </si>
  <si>
    <t xml:space="preserve">IZGARA ÇEŞİTLERİ </t>
  </si>
  <si>
    <t xml:space="preserve">ADANA KEBAP </t>
  </si>
  <si>
    <t xml:space="preserve">KUZU ŞİŞ </t>
  </si>
  <si>
    <t xml:space="preserve">TAVUK ŞİŞ </t>
  </si>
  <si>
    <t>IZGARA SAAT 17.00 / 19.30 SAATLERİ ARASINDA HİZMET VERMEKTEDİR</t>
  </si>
  <si>
    <t>YOĞURT KASE</t>
  </si>
  <si>
    <t>KARPUZ</t>
  </si>
  <si>
    <t>DEKANLIK MENÜ</t>
  </si>
  <si>
    <t>HAYDARİ</t>
  </si>
  <si>
    <t>AÇILIŞ=11:45</t>
  </si>
  <si>
    <t>KAPANIŞ=13:30</t>
  </si>
  <si>
    <t>PATLICAN MENÇE</t>
  </si>
  <si>
    <t xml:space="preserve">BEYTEPE SOSYAL TESİS </t>
  </si>
  <si>
    <t>PİDE SALONU</t>
  </si>
  <si>
    <t xml:space="preserve"> PİDELERİMİZ</t>
  </si>
  <si>
    <t>A                      F
İ
Y
E
T
O
L
S
U
N</t>
  </si>
  <si>
    <t>KAŞARLI PİDE</t>
  </si>
  <si>
    <t>KAŞARLI YUMURTALI PİDE</t>
  </si>
  <si>
    <t>KIYMALI KAŞARLI PİDE</t>
  </si>
  <si>
    <t>KIYMALI KAŞARLI YUMURTALI PİDE</t>
  </si>
  <si>
    <t>KUŞBAŞILI PİDE</t>
  </si>
  <si>
    <t>SU 0,50 LT</t>
  </si>
  <si>
    <t>KUŞBAŞILI KAŞARLI PİDE</t>
  </si>
  <si>
    <t>KIYMALI PİDE</t>
  </si>
  <si>
    <t>KIYMALI YUMURTALI PİDE</t>
  </si>
  <si>
    <t>SUCUKLU KAŞARLI PİDE</t>
  </si>
  <si>
    <t>LAHMACUN</t>
  </si>
  <si>
    <t>ÖĞRENCİYE 2'DEN FAZLA PİDE SATIŞIMIZ YOKTUR.            
ÇALIŞMA SAATLERİ
11:30-14:00
16:30-20:00</t>
  </si>
  <si>
    <t>ISPANAKLI PİDE</t>
  </si>
  <si>
    <t>ISPANAKLI YUMURTALI PİDE</t>
  </si>
  <si>
    <t>HAVUÇ TARATOR</t>
  </si>
  <si>
    <t>RUS SALATA</t>
  </si>
  <si>
    <t>Z.Y. BROKOLİ</t>
  </si>
  <si>
    <t>Z.Y. BRÜKSEL LAHANA</t>
  </si>
  <si>
    <t>PANCAR TURŞUSU</t>
  </si>
  <si>
    <t>KÖZLENMİŞ BİBER</t>
  </si>
  <si>
    <t>YOĞURTLU MANTAR</t>
  </si>
  <si>
    <t>TRİLİÇE</t>
  </si>
  <si>
    <t xml:space="preserve">SODA SADE </t>
  </si>
  <si>
    <t>EZOGELİN ÇORBASI</t>
  </si>
  <si>
    <t>BAMYA YEMEĞİ</t>
  </si>
  <si>
    <t>TAVUK BUT ROTİ</t>
  </si>
  <si>
    <t>HASANPAŞA KÖFTE</t>
  </si>
  <si>
    <t>TEL ŞEHRİYELİ PİRİNÇ PİLAVI</t>
  </si>
  <si>
    <t>MEVSİM SALATA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</si>
</sst>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&quot;₺&quot;#,##0.00;\-&quot;₺&quot;#,##0.00"/>
    <numFmt numFmtId="8" formatCode="&quot;₺&quot;#,##0.00;[Red]\-&quot;₺&quot;#,##0.00"/>
    <numFmt numFmtId="44" formatCode="_-&quot;₺&quot;* #,##0.00_-;\-&quot;₺&quot;* #,##0.00_-;_-&quot;₺&quot;* &quot;-&quot;??_-;_-@_-"/>
    <numFmt numFmtId="164" formatCode="_-* #,##0.00\ &quot;₺&quot;_-;\-* #,##0.00\ &quot;₺&quot;_-;_-* &quot;-&quot;??\ &quot;₺&quot;_-;_-@_-"/>
    <numFmt numFmtId="165" formatCode="#,##0.00\ &quot;TL&quot;"/>
    <numFmt numFmtId="166" formatCode="[$-F800]dddd\,\ mmmm\ dd\,\ yyyy"/>
    <numFmt numFmtId="167" formatCode="&quot;₺&quot;#,##0.00"/>
    <numFmt numFmtId="168" formatCode="#,##0.00\ &quot;₺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b/>
      <sz val="11"/>
      <color theme="1"/>
      <name val="Arial Black"/>
      <family val="2"/>
      <charset val="162"/>
    </font>
    <font>
      <b/>
      <sz val="16"/>
      <name val="Arial Black"/>
      <family val="2"/>
      <charset val="162"/>
    </font>
    <font>
      <b/>
      <sz val="20"/>
      <color theme="1"/>
      <name val="Arial Black"/>
      <family val="2"/>
      <charset val="162"/>
    </font>
    <font>
      <b/>
      <sz val="16"/>
      <color theme="1"/>
      <name val="Arial Black"/>
      <family val="2"/>
      <charset val="162"/>
    </font>
    <font>
      <sz val="16"/>
      <color theme="1"/>
      <name val="Arial Black"/>
      <family val="2"/>
      <charset val="162"/>
    </font>
    <font>
      <sz val="22"/>
      <color theme="1"/>
      <name val="Arial Black"/>
      <family val="2"/>
      <charset val="162"/>
    </font>
    <font>
      <sz val="20"/>
      <color theme="1"/>
      <name val="Arial Black"/>
      <family val="2"/>
      <charset val="162"/>
    </font>
    <font>
      <b/>
      <sz val="72"/>
      <color theme="1"/>
      <name val="Arial Black"/>
      <family val="2"/>
      <charset val="162"/>
    </font>
    <font>
      <sz val="16"/>
      <color theme="1"/>
      <name val="Calibri"/>
      <family val="2"/>
      <scheme val="minor"/>
    </font>
    <font>
      <sz val="15"/>
      <color theme="1"/>
      <name val="Arial Black"/>
      <family val="2"/>
      <charset val="162"/>
    </font>
    <font>
      <b/>
      <sz val="36"/>
      <name val="Arial Black"/>
      <family val="2"/>
      <charset val="162"/>
    </font>
    <font>
      <b/>
      <sz val="125"/>
      <color theme="1"/>
      <name val="Arial Black"/>
      <family val="2"/>
      <charset val="162"/>
    </font>
    <font>
      <sz val="20"/>
      <color theme="1"/>
      <name val="Calibri"/>
      <family val="2"/>
      <scheme val="minor"/>
    </font>
    <font>
      <b/>
      <u/>
      <sz val="20"/>
      <color theme="1"/>
      <name val="Calibri"/>
      <family val="2"/>
      <charset val="162"/>
      <scheme val="minor"/>
    </font>
    <font>
      <b/>
      <sz val="75"/>
      <color theme="1"/>
      <name val="Arial Black"/>
      <family val="2"/>
      <charset val="162"/>
    </font>
    <font>
      <sz val="72"/>
      <color theme="1"/>
      <name val="Arial Black"/>
      <family val="2"/>
      <charset val="162"/>
    </font>
    <font>
      <sz val="72"/>
      <color theme="1"/>
      <name val="Calibri"/>
      <family val="2"/>
      <scheme val="minor"/>
    </font>
    <font>
      <sz val="72"/>
      <color theme="1"/>
      <name val="Cambria"/>
      <family val="1"/>
      <charset val="162"/>
      <scheme val="major"/>
    </font>
    <font>
      <b/>
      <sz val="16"/>
      <color theme="1"/>
      <name val="Cambria"/>
      <family val="1"/>
      <charset val="162"/>
      <scheme val="major"/>
    </font>
    <font>
      <b/>
      <sz val="200"/>
      <color theme="1"/>
      <name val="Arial Black"/>
      <family val="2"/>
      <charset val="162"/>
    </font>
    <font>
      <b/>
      <sz val="85"/>
      <color theme="1"/>
      <name val="Arial Black"/>
      <family val="2"/>
      <charset val="162"/>
    </font>
    <font>
      <b/>
      <u/>
      <sz val="85"/>
      <color theme="1"/>
      <name val="Arial Black"/>
      <family val="2"/>
      <charset val="162"/>
    </font>
    <font>
      <sz val="85"/>
      <color theme="1"/>
      <name val="Arial Black"/>
      <family val="2"/>
      <charset val="162"/>
    </font>
    <font>
      <sz val="85"/>
      <color theme="1"/>
      <name val="Calibri"/>
      <family val="2"/>
      <scheme val="minor"/>
    </font>
    <font>
      <b/>
      <sz val="85"/>
      <color theme="1"/>
      <name val="Cambria"/>
      <family val="1"/>
      <charset val="162"/>
      <scheme val="major"/>
    </font>
    <font>
      <b/>
      <sz val="120"/>
      <color theme="1"/>
      <name val="Arial Black"/>
      <family val="2"/>
      <charset val="162"/>
    </font>
    <font>
      <sz val="10"/>
      <color theme="1"/>
      <name val="Calibri"/>
      <family val="2"/>
      <scheme val="minor"/>
    </font>
    <font>
      <sz val="18"/>
      <color theme="1"/>
      <name val="Arial Black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theme="1"/>
      <name val="Arial Black"/>
      <family val="2"/>
      <charset val="162"/>
    </font>
    <font>
      <b/>
      <sz val="28"/>
      <color theme="1"/>
      <name val="Arial Black"/>
      <family val="2"/>
      <charset val="162"/>
    </font>
    <font>
      <b/>
      <sz val="50"/>
      <color theme="1"/>
      <name val="Arial Black"/>
      <family val="2"/>
      <charset val="162"/>
    </font>
    <font>
      <b/>
      <sz val="44"/>
      <color theme="1"/>
      <name val="Calibri"/>
      <family val="2"/>
      <charset val="162"/>
      <scheme val="minor"/>
    </font>
    <font>
      <b/>
      <sz val="48"/>
      <color theme="1"/>
      <name val="Arial Black"/>
      <family val="2"/>
      <charset val="162"/>
    </font>
    <font>
      <b/>
      <sz val="45"/>
      <color theme="1"/>
      <name val="Arial Black"/>
      <family val="2"/>
      <charset val="162"/>
    </font>
    <font>
      <sz val="36"/>
      <color theme="1"/>
      <name val="Calibri"/>
      <family val="2"/>
      <charset val="162"/>
      <scheme val="minor"/>
    </font>
    <font>
      <b/>
      <sz val="55"/>
      <color theme="1"/>
      <name val="Arial Black"/>
      <family val="2"/>
      <charset val="162"/>
    </font>
    <font>
      <sz val="17"/>
      <color theme="1"/>
      <name val="Arial Black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280">
    <xf numFmtId="0" fontId="0" fillId="0" borderId="0" xfId="0"/>
    <xf numFmtId="0" fontId="5" fillId="0" borderId="0" xfId="0" applyFont="1" applyFill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0" fontId="9" fillId="0" borderId="0" xfId="0" applyFont="1" applyBorder="1"/>
    <xf numFmtId="0" fontId="9" fillId="0" borderId="6" xfId="0" applyFont="1" applyBorder="1" applyAlignment="1">
      <alignment horizontal="left"/>
    </xf>
    <xf numFmtId="0" fontId="9" fillId="0" borderId="0" xfId="0" applyFont="1" applyBorder="1" applyAlignment="1"/>
    <xf numFmtId="0" fontId="0" fillId="0" borderId="0" xfId="0" applyBorder="1"/>
    <xf numFmtId="0" fontId="0" fillId="0" borderId="0" xfId="0" applyBorder="1" applyAlignment="1"/>
    <xf numFmtId="44" fontId="9" fillId="0" borderId="0" xfId="4" applyFont="1" applyBorder="1" applyAlignment="1">
      <alignment horizontal="left"/>
    </xf>
    <xf numFmtId="0" fontId="9" fillId="0" borderId="6" xfId="0" applyFont="1" applyBorder="1" applyAlignment="1">
      <alignment horizontal="left" wrapText="1"/>
    </xf>
    <xf numFmtId="0" fontId="0" fillId="0" borderId="2" xfId="0" applyBorder="1" applyAlignment="1"/>
    <xf numFmtId="0" fontId="9" fillId="0" borderId="6" xfId="0" applyFont="1" applyBorder="1" applyAlignment="1">
      <alignment horizontal="left" vertical="top" wrapText="1"/>
    </xf>
    <xf numFmtId="44" fontId="9" fillId="0" borderId="0" xfId="4" applyFont="1" applyBorder="1" applyAlignment="1"/>
    <xf numFmtId="0" fontId="9" fillId="0" borderId="0" xfId="0" applyFont="1" applyBorder="1" applyAlignment="1">
      <alignment horizontal="left"/>
    </xf>
    <xf numFmtId="0" fontId="13" fillId="0" borderId="0" xfId="0" applyFont="1" applyBorder="1"/>
    <xf numFmtId="0" fontId="9" fillId="0" borderId="0" xfId="0" applyFont="1" applyBorder="1" applyAlignment="1">
      <alignment vertical="center"/>
    </xf>
    <xf numFmtId="44" fontId="9" fillId="0" borderId="7" xfId="4" applyFont="1" applyBorder="1" applyAlignment="1"/>
    <xf numFmtId="0" fontId="9" fillId="0" borderId="7" xfId="0" applyFont="1" applyBorder="1"/>
    <xf numFmtId="0" fontId="5" fillId="0" borderId="0" xfId="0" applyFont="1" applyFill="1" applyBorder="1" applyAlignment="1">
      <alignment horizontal="center" vertical="center"/>
    </xf>
    <xf numFmtId="167" fontId="6" fillId="0" borderId="0" xfId="2" applyNumberFormat="1" applyFont="1" applyFill="1" applyBorder="1" applyAlignment="1">
      <alignment horizontal="center" vertical="center"/>
    </xf>
    <xf numFmtId="44" fontId="8" fillId="0" borderId="0" xfId="5" applyFont="1" applyBorder="1" applyAlignment="1">
      <alignment horizontal="center" wrapText="1" shrinkToFit="1"/>
    </xf>
    <xf numFmtId="0" fontId="14" fillId="0" borderId="6" xfId="0" applyFont="1" applyBorder="1" applyAlignment="1">
      <alignment horizontal="left" vertical="top" wrapText="1"/>
    </xf>
    <xf numFmtId="7" fontId="8" fillId="0" borderId="7" xfId="5" applyNumberFormat="1" applyFont="1" applyBorder="1" applyAlignment="1">
      <alignment horizontal="center" vertical="center" wrapText="1" shrinkToFit="1"/>
    </xf>
    <xf numFmtId="167" fontId="8" fillId="0" borderId="7" xfId="5" applyNumberFormat="1" applyFont="1" applyBorder="1" applyAlignment="1">
      <alignment horizontal="right" wrapText="1" shrinkToFit="1"/>
    </xf>
    <xf numFmtId="44" fontId="8" fillId="0" borderId="0" xfId="5" applyFont="1" applyBorder="1" applyAlignment="1">
      <alignment horizontal="left" wrapText="1" shrinkToFit="1"/>
    </xf>
    <xf numFmtId="44" fontId="8" fillId="0" borderId="0" xfId="5" applyFont="1" applyBorder="1" applyAlignment="1">
      <alignment horizontal="right" wrapText="1" shrinkToFit="1"/>
    </xf>
    <xf numFmtId="44" fontId="9" fillId="0" borderId="0" xfId="5" applyFont="1" applyBorder="1" applyAlignment="1">
      <alignment horizontal="left"/>
    </xf>
    <xf numFmtId="7" fontId="8" fillId="0" borderId="0" xfId="5" applyNumberFormat="1" applyFont="1" applyBorder="1" applyAlignment="1">
      <alignment horizontal="right" vertical="center" wrapText="1" shrinkToFit="1"/>
    </xf>
    <xf numFmtId="7" fontId="8" fillId="0" borderId="0" xfId="5" applyNumberFormat="1" applyFont="1" applyBorder="1" applyAlignment="1">
      <alignment horizontal="right" wrapText="1" shrinkToFit="1"/>
    </xf>
    <xf numFmtId="7" fontId="9" fillId="0" borderId="0" xfId="5" applyNumberFormat="1" applyFont="1" applyBorder="1" applyAlignment="1">
      <alignment horizontal="right"/>
    </xf>
    <xf numFmtId="8" fontId="8" fillId="0" borderId="0" xfId="5" applyNumberFormat="1" applyFont="1" applyBorder="1" applyAlignment="1">
      <alignment horizontal="right" wrapText="1" shrinkToFit="1"/>
    </xf>
    <xf numFmtId="0" fontId="6" fillId="0" borderId="0" xfId="2" applyFont="1" applyFill="1" applyBorder="1" applyAlignment="1">
      <alignment horizontal="center" vertical="center"/>
    </xf>
    <xf numFmtId="167" fontId="15" fillId="0" borderId="1" xfId="2" applyNumberFormat="1" applyFont="1" applyFill="1" applyBorder="1" applyAlignment="1">
      <alignment horizontal="center" vertical="center"/>
    </xf>
    <xf numFmtId="44" fontId="8" fillId="0" borderId="0" xfId="5" applyFont="1" applyBorder="1" applyAlignment="1">
      <alignment horizontal="right" vertical="center" wrapText="1" shrinkToFit="1"/>
    </xf>
    <xf numFmtId="8" fontId="8" fillId="0" borderId="0" xfId="5" applyNumberFormat="1" applyFont="1" applyFill="1" applyBorder="1" applyAlignment="1">
      <alignment horizontal="right" wrapText="1" shrinkToFit="1"/>
    </xf>
    <xf numFmtId="0" fontId="9" fillId="0" borderId="0" xfId="0" applyFont="1" applyBorder="1" applyAlignment="1">
      <alignment wrapText="1"/>
    </xf>
    <xf numFmtId="0" fontId="9" fillId="0" borderId="7" xfId="0" applyFont="1" applyBorder="1" applyAlignment="1">
      <alignment wrapText="1"/>
    </xf>
    <xf numFmtId="166" fontId="7" fillId="0" borderId="13" xfId="0" applyNumberFormat="1" applyFont="1" applyBorder="1" applyAlignment="1">
      <alignment horizontal="center" vertical="center" wrapText="1"/>
    </xf>
    <xf numFmtId="0" fontId="9" fillId="0" borderId="10" xfId="2" applyFont="1" applyBorder="1" applyAlignment="1">
      <alignment horizontal="left"/>
    </xf>
    <xf numFmtId="44" fontId="9" fillId="0" borderId="8" xfId="5" applyFont="1" applyBorder="1" applyAlignment="1">
      <alignment horizontal="left"/>
    </xf>
    <xf numFmtId="0" fontId="4" fillId="0" borderId="16" xfId="2" applyBorder="1" applyAlignment="1"/>
    <xf numFmtId="0" fontId="4" fillId="0" borderId="17" xfId="2" applyBorder="1" applyAlignment="1"/>
    <xf numFmtId="0" fontId="4" fillId="0" borderId="0" xfId="2" applyBorder="1" applyAlignment="1"/>
    <xf numFmtId="0" fontId="4" fillId="0" borderId="8" xfId="2" applyBorder="1" applyAlignment="1"/>
    <xf numFmtId="0" fontId="9" fillId="0" borderId="0" xfId="2" applyFont="1" applyBorder="1"/>
    <xf numFmtId="0" fontId="9" fillId="0" borderId="8" xfId="2" applyFont="1" applyBorder="1"/>
    <xf numFmtId="44" fontId="8" fillId="0" borderId="7" xfId="5" applyFont="1" applyBorder="1" applyAlignment="1">
      <alignment horizontal="center" wrapText="1" shrinkToFit="1"/>
    </xf>
    <xf numFmtId="0" fontId="9" fillId="0" borderId="7" xfId="2" applyFont="1" applyBorder="1"/>
    <xf numFmtId="0" fontId="9" fillId="0" borderId="9" xfId="2" applyFont="1" applyBorder="1"/>
    <xf numFmtId="0" fontId="4" fillId="0" borderId="0" xfId="2"/>
    <xf numFmtId="0" fontId="4" fillId="0" borderId="6" xfId="2" applyBorder="1"/>
    <xf numFmtId="0" fontId="17" fillId="0" borderId="3" xfId="2" applyFont="1" applyBorder="1"/>
    <xf numFmtId="0" fontId="17" fillId="0" borderId="4" xfId="2" applyFont="1" applyBorder="1"/>
    <xf numFmtId="0" fontId="4" fillId="0" borderId="4" xfId="2" applyBorder="1"/>
    <xf numFmtId="168" fontId="17" fillId="0" borderId="5" xfId="2" applyNumberFormat="1" applyFont="1" applyBorder="1"/>
    <xf numFmtId="0" fontId="4" fillId="4" borderId="0" xfId="2" applyFill="1" applyBorder="1"/>
    <xf numFmtId="0" fontId="4" fillId="0" borderId="0" xfId="2" applyBorder="1"/>
    <xf numFmtId="0" fontId="4" fillId="0" borderId="7" xfId="2" applyBorder="1"/>
    <xf numFmtId="168" fontId="17" fillId="0" borderId="7" xfId="2" applyNumberFormat="1" applyFont="1" applyBorder="1"/>
    <xf numFmtId="0" fontId="4" fillId="0" borderId="3" xfId="2" applyBorder="1"/>
    <xf numFmtId="0" fontId="19" fillId="0" borderId="4" xfId="2" applyFont="1" applyBorder="1"/>
    <xf numFmtId="0" fontId="20" fillId="0" borderId="4" xfId="2" applyFont="1" applyBorder="1"/>
    <xf numFmtId="0" fontId="21" fillId="0" borderId="4" xfId="2" applyFont="1" applyBorder="1"/>
    <xf numFmtId="168" fontId="12" fillId="0" borderId="5" xfId="2" applyNumberFormat="1" applyFont="1" applyBorder="1" applyAlignment="1">
      <alignment horizontal="center"/>
    </xf>
    <xf numFmtId="0" fontId="21" fillId="0" borderId="0" xfId="2" applyFont="1" applyBorder="1"/>
    <xf numFmtId="168" fontId="20" fillId="0" borderId="7" xfId="2" applyNumberFormat="1" applyFont="1" applyBorder="1" applyAlignment="1"/>
    <xf numFmtId="0" fontId="21" fillId="4" borderId="0" xfId="2" applyFont="1" applyFill="1" applyBorder="1"/>
    <xf numFmtId="168" fontId="22" fillId="0" borderId="0" xfId="2" applyNumberFormat="1" applyFont="1" applyBorder="1" applyAlignment="1">
      <alignment horizontal="center"/>
    </xf>
    <xf numFmtId="0" fontId="20" fillId="0" borderId="6" xfId="2" applyFont="1" applyBorder="1"/>
    <xf numFmtId="168" fontId="20" fillId="0" borderId="7" xfId="2" applyNumberFormat="1" applyFont="1" applyBorder="1" applyAlignment="1">
      <alignment horizontal="right"/>
    </xf>
    <xf numFmtId="0" fontId="21" fillId="0" borderId="6" xfId="2" applyFont="1" applyBorder="1"/>
    <xf numFmtId="0" fontId="21" fillId="0" borderId="7" xfId="2" applyFont="1" applyBorder="1"/>
    <xf numFmtId="168" fontId="23" fillId="0" borderId="6" xfId="2" applyNumberFormat="1" applyFont="1" applyBorder="1" applyAlignment="1">
      <alignment horizontal="center"/>
    </xf>
    <xf numFmtId="0" fontId="20" fillId="0" borderId="7" xfId="2" applyFont="1" applyBorder="1" applyAlignment="1">
      <alignment horizontal="left" vertical="top"/>
    </xf>
    <xf numFmtId="168" fontId="20" fillId="0" borderId="0" xfId="2" applyNumberFormat="1" applyFont="1" applyBorder="1" applyAlignment="1">
      <alignment horizontal="right"/>
    </xf>
    <xf numFmtId="0" fontId="4" fillId="0" borderId="23" xfId="2" applyBorder="1"/>
    <xf numFmtId="168" fontId="17" fillId="0" borderId="0" xfId="2" applyNumberFormat="1" applyFont="1" applyBorder="1"/>
    <xf numFmtId="0" fontId="4" fillId="0" borderId="24" xfId="2" applyBorder="1"/>
    <xf numFmtId="168" fontId="25" fillId="0" borderId="0" xfId="2" applyNumberFormat="1" applyFont="1" applyBorder="1" applyAlignment="1">
      <alignment horizontal="center"/>
    </xf>
    <xf numFmtId="168" fontId="25" fillId="0" borderId="24" xfId="2" applyNumberFormat="1" applyFont="1" applyBorder="1" applyAlignment="1">
      <alignment horizontal="center"/>
    </xf>
    <xf numFmtId="0" fontId="4" fillId="0" borderId="23" xfId="2" applyBorder="1" applyAlignment="1">
      <alignment horizontal="left"/>
    </xf>
    <xf numFmtId="0" fontId="26" fillId="0" borderId="0" xfId="2" applyFont="1" applyBorder="1" applyAlignment="1">
      <alignment horizontal="left"/>
    </xf>
    <xf numFmtId="0" fontId="27" fillId="0" borderId="0" xfId="2" applyFont="1" applyBorder="1" applyAlignment="1">
      <alignment horizontal="left"/>
    </xf>
    <xf numFmtId="0" fontId="28" fillId="0" borderId="0" xfId="2" applyFont="1" applyBorder="1" applyAlignment="1">
      <alignment horizontal="left"/>
    </xf>
    <xf numFmtId="0" fontId="4" fillId="0" borderId="0" xfId="2" applyBorder="1" applyAlignment="1">
      <alignment horizontal="left"/>
    </xf>
    <xf numFmtId="168" fontId="29" fillId="0" borderId="0" xfId="2" applyNumberFormat="1" applyFont="1" applyBorder="1" applyAlignment="1">
      <alignment horizontal="left"/>
    </xf>
    <xf numFmtId="0" fontId="25" fillId="0" borderId="0" xfId="2" applyFont="1" applyBorder="1" applyAlignment="1">
      <alignment horizontal="left"/>
    </xf>
    <xf numFmtId="168" fontId="25" fillId="0" borderId="26" xfId="2" applyNumberFormat="1" applyFont="1" applyBorder="1" applyAlignment="1">
      <alignment horizontal="center"/>
    </xf>
    <xf numFmtId="0" fontId="4" fillId="4" borderId="26" xfId="2" applyFill="1" applyBorder="1"/>
    <xf numFmtId="0" fontId="25" fillId="0" borderId="26" xfId="2" applyFont="1" applyBorder="1" applyAlignment="1">
      <alignment horizontal="left"/>
    </xf>
    <xf numFmtId="168" fontId="25" fillId="0" borderId="27" xfId="2" applyNumberFormat="1" applyFont="1" applyBorder="1" applyAlignment="1">
      <alignment horizontal="center"/>
    </xf>
    <xf numFmtId="8" fontId="8" fillId="0" borderId="28" xfId="5" applyNumberFormat="1" applyFont="1" applyBorder="1" applyAlignment="1">
      <alignment horizontal="right" wrapText="1" shrinkToFit="1"/>
    </xf>
    <xf numFmtId="8" fontId="8" fillId="0" borderId="28" xfId="5" applyNumberFormat="1" applyFont="1" applyFill="1" applyBorder="1" applyAlignment="1">
      <alignment horizontal="right" wrapText="1" shrinkToFit="1"/>
    </xf>
    <xf numFmtId="0" fontId="13" fillId="0" borderId="0" xfId="0" applyFont="1"/>
    <xf numFmtId="0" fontId="31" fillId="0" borderId="0" xfId="0" applyFont="1"/>
    <xf numFmtId="8" fontId="8" fillId="0" borderId="8" xfId="5" applyNumberFormat="1" applyFont="1" applyBorder="1" applyAlignment="1">
      <alignment horizontal="right" wrapText="1" shrinkToFit="1"/>
    </xf>
    <xf numFmtId="0" fontId="0" fillId="0" borderId="29" xfId="0" applyBorder="1" applyAlignment="1"/>
    <xf numFmtId="0" fontId="0" fillId="0" borderId="0" xfId="0" applyAlignment="1">
      <alignment horizontal="center" wrapText="1"/>
    </xf>
    <xf numFmtId="44" fontId="8" fillId="0" borderId="7" xfId="5" applyFont="1" applyBorder="1" applyAlignment="1">
      <alignment horizontal="right" vertical="center" wrapText="1" shrinkToFit="1"/>
    </xf>
    <xf numFmtId="7" fontId="8" fillId="0" borderId="7" xfId="5" applyNumberFormat="1" applyFont="1" applyBorder="1" applyAlignment="1">
      <alignment horizontal="right" vertical="center" wrapText="1" shrinkToFit="1"/>
    </xf>
    <xf numFmtId="44" fontId="8" fillId="0" borderId="7" xfId="5" applyFont="1" applyBorder="1" applyAlignment="1">
      <alignment horizontal="right" wrapText="1" shrinkToFit="1"/>
    </xf>
    <xf numFmtId="167" fontId="8" fillId="0" borderId="28" xfId="5" applyNumberFormat="1" applyFont="1" applyBorder="1" applyAlignment="1">
      <alignment horizontal="right" wrapText="1" shrinkToFit="1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167" fontId="8" fillId="0" borderId="0" xfId="5" applyNumberFormat="1" applyFont="1" applyBorder="1" applyAlignment="1">
      <alignment horizontal="right" wrapText="1" shrinkToFit="1"/>
    </xf>
    <xf numFmtId="0" fontId="0" fillId="0" borderId="30" xfId="0" applyBorder="1"/>
    <xf numFmtId="0" fontId="9" fillId="0" borderId="28" xfId="0" applyFont="1" applyBorder="1" applyAlignment="1">
      <alignment horizontal="center" wrapText="1"/>
    </xf>
    <xf numFmtId="7" fontId="8" fillId="0" borderId="7" xfId="5" applyNumberFormat="1" applyFont="1" applyBorder="1" applyAlignment="1">
      <alignment horizontal="right" vertical="top" wrapText="1" shrinkToFit="1"/>
    </xf>
    <xf numFmtId="0" fontId="32" fillId="0" borderId="6" xfId="0" applyFont="1" applyBorder="1" applyAlignment="1">
      <alignment horizontal="left" wrapText="1"/>
    </xf>
    <xf numFmtId="0" fontId="8" fillId="0" borderId="0" xfId="0" applyFont="1" applyBorder="1" applyAlignment="1"/>
    <xf numFmtId="44" fontId="8" fillId="0" borderId="7" xfId="4" applyFont="1" applyBorder="1" applyAlignment="1">
      <alignment horizontal="right" wrapText="1" shrinkToFit="1"/>
    </xf>
    <xf numFmtId="0" fontId="10" fillId="2" borderId="6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166" fontId="7" fillId="0" borderId="15" xfId="0" applyNumberFormat="1" applyFont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0" fillId="0" borderId="19" xfId="0" applyBorder="1"/>
    <xf numFmtId="168" fontId="20" fillId="0" borderId="19" xfId="2" applyNumberFormat="1" applyFont="1" applyBorder="1" applyAlignment="1">
      <alignment horizontal="right"/>
    </xf>
    <xf numFmtId="0" fontId="21" fillId="0" borderId="19" xfId="2" applyFont="1" applyBorder="1"/>
    <xf numFmtId="0" fontId="20" fillId="0" borderId="32" xfId="2" applyFont="1" applyBorder="1"/>
    <xf numFmtId="0" fontId="4" fillId="0" borderId="19" xfId="2" applyBorder="1"/>
    <xf numFmtId="168" fontId="20" fillId="0" borderId="31" xfId="2" applyNumberFormat="1" applyFont="1" applyBorder="1" applyAlignment="1">
      <alignment horizontal="right"/>
    </xf>
    <xf numFmtId="167" fontId="8" fillId="0" borderId="0" xfId="5" applyNumberFormat="1" applyFont="1" applyBorder="1" applyAlignment="1">
      <alignment horizontal="right" vertical="center" wrapText="1" shrinkToFit="1"/>
    </xf>
    <xf numFmtId="0" fontId="9" fillId="0" borderId="0" xfId="0" applyFont="1" applyBorder="1" applyAlignment="1">
      <alignment horizontal="left" vertical="center" wrapText="1"/>
    </xf>
    <xf numFmtId="0" fontId="32" fillId="0" borderId="6" xfId="0" applyNumberFormat="1" applyFont="1" applyBorder="1" applyAlignment="1">
      <alignment horizontal="left" wrapText="1"/>
    </xf>
    <xf numFmtId="167" fontId="9" fillId="0" borderId="0" xfId="0" applyNumberFormat="1" applyFont="1" applyBorder="1" applyAlignment="1">
      <alignment horizontal="center" wrapText="1"/>
    </xf>
    <xf numFmtId="0" fontId="0" fillId="0" borderId="6" xfId="0" applyBorder="1"/>
    <xf numFmtId="0" fontId="0" fillId="0" borderId="33" xfId="0" applyBorder="1" applyAlignment="1"/>
    <xf numFmtId="0" fontId="25" fillId="0" borderId="23" xfId="2" applyFont="1" applyBorder="1" applyAlignment="1">
      <alignment horizontal="left"/>
    </xf>
    <xf numFmtId="0" fontId="25" fillId="0" borderId="0" xfId="2" applyFont="1" applyBorder="1" applyAlignment="1">
      <alignment horizontal="left"/>
    </xf>
    <xf numFmtId="0" fontId="25" fillId="0" borderId="0" xfId="2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10" fillId="2" borderId="6" xfId="6" applyFont="1" applyFill="1" applyBorder="1" applyAlignment="1">
      <alignment horizontal="center" vertical="center"/>
    </xf>
    <xf numFmtId="0" fontId="10" fillId="2" borderId="0" xfId="6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6" xfId="0" applyBorder="1" applyAlignment="1"/>
    <xf numFmtId="0" fontId="9" fillId="0" borderId="7" xfId="0" applyFont="1" applyBorder="1" applyAlignment="1">
      <alignment horizontal="center"/>
    </xf>
    <xf numFmtId="44" fontId="8" fillId="0" borderId="0" xfId="4" applyFont="1" applyBorder="1" applyAlignment="1">
      <alignment horizontal="left" wrapText="1" shrinkToFit="1"/>
    </xf>
    <xf numFmtId="0" fontId="9" fillId="0" borderId="10" xfId="0" applyFont="1" applyBorder="1" applyAlignment="1">
      <alignment horizontal="left"/>
    </xf>
    <xf numFmtId="44" fontId="9" fillId="0" borderId="8" xfId="4" applyFont="1" applyBorder="1" applyAlignment="1">
      <alignment horizontal="left"/>
    </xf>
    <xf numFmtId="0" fontId="0" fillId="0" borderId="17" xfId="0" applyBorder="1" applyAlignment="1"/>
    <xf numFmtId="0" fontId="0" fillId="0" borderId="8" xfId="0" applyBorder="1" applyAlignment="1"/>
    <xf numFmtId="0" fontId="9" fillId="0" borderId="8" xfId="0" applyFont="1" applyBorder="1"/>
    <xf numFmtId="0" fontId="9" fillId="0" borderId="9" xfId="0" applyFont="1" applyBorder="1"/>
    <xf numFmtId="0" fontId="9" fillId="0" borderId="6" xfId="0" applyFont="1" applyFill="1" applyBorder="1" applyAlignment="1">
      <alignment horizontal="left"/>
    </xf>
    <xf numFmtId="0" fontId="33" fillId="5" borderId="3" xfId="0" applyFont="1" applyFill="1" applyBorder="1"/>
    <xf numFmtId="0" fontId="33" fillId="5" borderId="0" xfId="0" applyFont="1" applyFill="1"/>
    <xf numFmtId="0" fontId="33" fillId="5" borderId="6" xfId="0" applyFont="1" applyFill="1" applyBorder="1"/>
    <xf numFmtId="0" fontId="35" fillId="0" borderId="0" xfId="0" applyFont="1" applyAlignment="1">
      <alignment horizontal="center" vertical="center"/>
    </xf>
    <xf numFmtId="164" fontId="34" fillId="0" borderId="0" xfId="1" applyFont="1" applyAlignment="1">
      <alignment horizontal="center" vertical="center" wrapText="1"/>
    </xf>
    <xf numFmtId="164" fontId="34" fillId="5" borderId="0" xfId="0" applyNumberFormat="1" applyFont="1" applyFill="1" applyBorder="1" applyAlignment="1">
      <alignment horizontal="center" vertical="center" wrapText="1"/>
    </xf>
    <xf numFmtId="164" fontId="34" fillId="5" borderId="7" xfId="0" applyNumberFormat="1" applyFont="1" applyFill="1" applyBorder="1" applyAlignment="1">
      <alignment horizontal="center" vertical="center" wrapText="1"/>
    </xf>
    <xf numFmtId="0" fontId="37" fillId="5" borderId="0" xfId="0" applyFont="1" applyFill="1"/>
    <xf numFmtId="164" fontId="38" fillId="5" borderId="0" xfId="1" applyFont="1" applyFill="1" applyBorder="1" applyAlignment="1">
      <alignment horizontal="left" vertical="center" wrapText="1"/>
    </xf>
    <xf numFmtId="164" fontId="38" fillId="5" borderId="0" xfId="1" applyFont="1" applyFill="1" applyBorder="1" applyAlignment="1">
      <alignment horizontal="right" vertical="center" wrapText="1"/>
    </xf>
    <xf numFmtId="164" fontId="39" fillId="5" borderId="0" xfId="1" applyFont="1" applyFill="1" applyBorder="1" applyAlignment="1">
      <alignment horizontal="left" vertical="center" wrapText="1"/>
    </xf>
    <xf numFmtId="164" fontId="39" fillId="5" borderId="7" xfId="1" applyFont="1" applyFill="1" applyBorder="1" applyAlignment="1">
      <alignment horizontal="right" vertical="center" wrapText="1"/>
    </xf>
    <xf numFmtId="164" fontId="38" fillId="5" borderId="0" xfId="1" applyFont="1" applyFill="1" applyBorder="1" applyAlignment="1">
      <alignment vertical="center" wrapText="1"/>
    </xf>
    <xf numFmtId="0" fontId="33" fillId="5" borderId="0" xfId="0" quotePrefix="1" applyFont="1" applyFill="1"/>
    <xf numFmtId="0" fontId="40" fillId="5" borderId="0" xfId="0" applyFont="1" applyFill="1"/>
    <xf numFmtId="164" fontId="39" fillId="0" borderId="7" xfId="1" applyFont="1" applyBorder="1" applyAlignment="1">
      <alignment horizontal="right" vertical="center" wrapText="1"/>
    </xf>
    <xf numFmtId="164" fontId="39" fillId="5" borderId="0" xfId="1" applyFont="1" applyFill="1" applyBorder="1" applyAlignment="1">
      <alignment vertical="center" wrapText="1"/>
    </xf>
    <xf numFmtId="164" fontId="39" fillId="5" borderId="7" xfId="1" applyFont="1" applyFill="1" applyBorder="1" applyAlignment="1">
      <alignment horizontal="center" vertical="center" wrapText="1"/>
    </xf>
    <xf numFmtId="0" fontId="38" fillId="5" borderId="0" xfId="0" applyFont="1" applyFill="1" applyBorder="1" applyAlignment="1">
      <alignment vertical="center" wrapText="1"/>
    </xf>
    <xf numFmtId="164" fontId="39" fillId="5" borderId="7" xfId="1" applyFont="1" applyFill="1" applyBorder="1" applyAlignment="1">
      <alignment vertical="center" wrapText="1"/>
    </xf>
    <xf numFmtId="0" fontId="33" fillId="5" borderId="0" xfId="0" applyFont="1" applyFill="1" applyAlignment="1">
      <alignment horizontal="left" vertical="center" wrapText="1"/>
    </xf>
    <xf numFmtId="164" fontId="36" fillId="5" borderId="7" xfId="1" applyFont="1" applyFill="1" applyBorder="1" applyAlignment="1">
      <alignment horizontal="center" vertical="center" wrapText="1"/>
    </xf>
    <xf numFmtId="0" fontId="34" fillId="5" borderId="6" xfId="0" applyFont="1" applyFill="1" applyBorder="1"/>
    <xf numFmtId="0" fontId="34" fillId="5" borderId="0" xfId="0" applyFont="1" applyFill="1" applyBorder="1" applyAlignment="1">
      <alignment vertical="center" wrapText="1"/>
    </xf>
    <xf numFmtId="164" fontId="34" fillId="5" borderId="0" xfId="1" applyFont="1" applyFill="1" applyBorder="1" applyAlignment="1">
      <alignment vertical="center" wrapText="1"/>
    </xf>
    <xf numFmtId="164" fontId="33" fillId="5" borderId="0" xfId="1" applyFont="1" applyFill="1" applyAlignment="1">
      <alignment horizontal="left" vertical="center" wrapText="1"/>
    </xf>
    <xf numFmtId="0" fontId="33" fillId="5" borderId="0" xfId="0" applyFont="1" applyFill="1" applyBorder="1"/>
    <xf numFmtId="0" fontId="33" fillId="5" borderId="0" xfId="0" applyFont="1" applyFill="1" applyAlignment="1">
      <alignment horizontal="left" vertical="center"/>
    </xf>
    <xf numFmtId="0" fontId="34" fillId="5" borderId="0" xfId="0" applyFont="1" applyFill="1" applyBorder="1" applyAlignment="1">
      <alignment horizontal="left" vertical="center" wrapText="1"/>
    </xf>
    <xf numFmtId="164" fontId="34" fillId="5" borderId="0" xfId="1" applyFont="1" applyFill="1" applyBorder="1" applyAlignment="1">
      <alignment horizontal="right" vertical="center" wrapText="1"/>
    </xf>
    <xf numFmtId="0" fontId="33" fillId="5" borderId="10" xfId="0" applyFont="1" applyFill="1" applyBorder="1"/>
    <xf numFmtId="0" fontId="34" fillId="5" borderId="8" xfId="0" applyFont="1" applyFill="1" applyBorder="1" applyAlignment="1">
      <alignment horizontal="left" vertical="center" wrapText="1"/>
    </xf>
    <xf numFmtId="164" fontId="34" fillId="5" borderId="8" xfId="1" applyFont="1" applyFill="1" applyBorder="1" applyAlignment="1">
      <alignment horizontal="left" vertical="center" wrapText="1"/>
    </xf>
    <xf numFmtId="0" fontId="33" fillId="5" borderId="8" xfId="0" applyFont="1" applyFill="1" applyBorder="1"/>
    <xf numFmtId="164" fontId="33" fillId="5" borderId="9" xfId="1" applyFont="1" applyFill="1" applyBorder="1"/>
    <xf numFmtId="0" fontId="33" fillId="5" borderId="0" xfId="0" applyFont="1" applyFill="1" applyBorder="1" applyAlignment="1">
      <alignment horizontal="left" vertical="center" wrapText="1"/>
    </xf>
    <xf numFmtId="164" fontId="33" fillId="5" borderId="0" xfId="1" applyFont="1" applyFill="1" applyBorder="1" applyAlignment="1">
      <alignment horizontal="left" vertical="center" wrapText="1"/>
    </xf>
    <xf numFmtId="164" fontId="36" fillId="5" borderId="0" xfId="1" applyFont="1" applyFill="1" applyBorder="1" applyAlignment="1">
      <alignment vertical="top" wrapText="1"/>
    </xf>
    <xf numFmtId="0" fontId="34" fillId="5" borderId="0" xfId="0" applyFont="1" applyFill="1" applyBorder="1" applyAlignment="1">
      <alignment horizontal="center"/>
    </xf>
    <xf numFmtId="164" fontId="37" fillId="5" borderId="0" xfId="1" applyFont="1" applyFill="1" applyBorder="1" applyAlignment="1">
      <alignment vertical="center" wrapText="1"/>
    </xf>
    <xf numFmtId="164" fontId="33" fillId="5" borderId="0" xfId="1" applyFont="1" applyFill="1" applyBorder="1"/>
    <xf numFmtId="164" fontId="33" fillId="5" borderId="0" xfId="1" applyFont="1" applyFill="1"/>
    <xf numFmtId="168" fontId="20" fillId="0" borderId="7" xfId="2" applyNumberFormat="1" applyFont="1" applyBorder="1" applyAlignment="1">
      <alignment horizontal="center"/>
    </xf>
    <xf numFmtId="0" fontId="20" fillId="0" borderId="0" xfId="2" applyFont="1" applyBorder="1" applyAlignment="1">
      <alignment horizontal="left" vertical="top"/>
    </xf>
    <xf numFmtId="0" fontId="42" fillId="0" borderId="6" xfId="0" applyFont="1" applyBorder="1" applyAlignment="1">
      <alignment horizontal="left" wrapText="1"/>
    </xf>
    <xf numFmtId="0" fontId="0" fillId="0" borderId="32" xfId="0" applyBorder="1"/>
    <xf numFmtId="0" fontId="0" fillId="0" borderId="31" xfId="0" applyBorder="1"/>
    <xf numFmtId="0" fontId="0" fillId="0" borderId="7" xfId="0" applyBorder="1"/>
    <xf numFmtId="166" fontId="7" fillId="0" borderId="6" xfId="0" applyNumberFormat="1" applyFont="1" applyBorder="1" applyAlignment="1">
      <alignment horizontal="center" vertical="center" wrapText="1"/>
    </xf>
    <xf numFmtId="166" fontId="7" fillId="0" borderId="0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6" fontId="7" fillId="0" borderId="12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166" fontId="7" fillId="0" borderId="15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67" fontId="9" fillId="0" borderId="28" xfId="1" applyNumberFormat="1" applyFont="1" applyBorder="1" applyAlignment="1">
      <alignment horizontal="right" vertical="center"/>
    </xf>
    <xf numFmtId="0" fontId="9" fillId="0" borderId="0" xfId="2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20" fillId="0" borderId="6" xfId="2" applyFont="1" applyBorder="1" applyAlignment="1">
      <alignment horizontal="left"/>
    </xf>
    <xf numFmtId="0" fontId="20" fillId="0" borderId="0" xfId="2" applyFont="1" applyBorder="1" applyAlignment="1">
      <alignment horizontal="left"/>
    </xf>
    <xf numFmtId="0" fontId="20" fillId="0" borderId="6" xfId="2" applyFont="1" applyBorder="1" applyAlignment="1">
      <alignment horizontal="center"/>
    </xf>
    <xf numFmtId="0" fontId="20" fillId="0" borderId="0" xfId="2" applyFont="1" applyBorder="1" applyAlignment="1">
      <alignment horizontal="center"/>
    </xf>
    <xf numFmtId="0" fontId="16" fillId="3" borderId="3" xfId="2" applyFont="1" applyFill="1" applyBorder="1" applyAlignment="1">
      <alignment horizontal="center" vertical="center"/>
    </xf>
    <xf numFmtId="0" fontId="16" fillId="3" borderId="4" xfId="2" applyFont="1" applyFill="1" applyBorder="1" applyAlignment="1">
      <alignment horizontal="center" vertical="center"/>
    </xf>
    <xf numFmtId="0" fontId="16" fillId="3" borderId="5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0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8" fillId="0" borderId="6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24" fillId="3" borderId="20" xfId="2" applyFont="1" applyFill="1" applyBorder="1" applyAlignment="1">
      <alignment horizontal="center" vertical="center"/>
    </xf>
    <xf numFmtId="0" fontId="24" fillId="3" borderId="21" xfId="2" applyFont="1" applyFill="1" applyBorder="1" applyAlignment="1">
      <alignment horizontal="center" vertical="center"/>
    </xf>
    <xf numFmtId="0" fontId="24" fillId="3" borderId="22" xfId="2" applyFont="1" applyFill="1" applyBorder="1" applyAlignment="1">
      <alignment horizontal="center" vertical="center"/>
    </xf>
    <xf numFmtId="0" fontId="24" fillId="3" borderId="23" xfId="2" applyFont="1" applyFill="1" applyBorder="1" applyAlignment="1">
      <alignment horizontal="center" vertical="center"/>
    </xf>
    <xf numFmtId="0" fontId="24" fillId="3" borderId="0" xfId="2" applyFont="1" applyFill="1" applyBorder="1" applyAlignment="1">
      <alignment horizontal="center" vertical="center"/>
    </xf>
    <xf numFmtId="0" fontId="24" fillId="3" borderId="24" xfId="2" applyFont="1" applyFill="1" applyBorder="1" applyAlignment="1">
      <alignment horizontal="center" vertical="center"/>
    </xf>
    <xf numFmtId="0" fontId="25" fillId="0" borderId="23" xfId="2" applyFont="1" applyBorder="1" applyAlignment="1">
      <alignment horizontal="left"/>
    </xf>
    <xf numFmtId="0" fontId="25" fillId="0" borderId="0" xfId="2" applyFont="1" applyBorder="1" applyAlignment="1">
      <alignment horizontal="left"/>
    </xf>
    <xf numFmtId="0" fontId="25" fillId="0" borderId="0" xfId="2" applyFont="1" applyBorder="1" applyAlignment="1">
      <alignment horizontal="left" vertical="center"/>
    </xf>
    <xf numFmtId="0" fontId="26" fillId="0" borderId="0" xfId="2" applyFont="1" applyBorder="1" applyAlignment="1">
      <alignment horizontal="left"/>
    </xf>
    <xf numFmtId="0" fontId="25" fillId="0" borderId="25" xfId="2" applyFont="1" applyBorder="1" applyAlignment="1">
      <alignment horizontal="left"/>
    </xf>
    <xf numFmtId="0" fontId="25" fillId="0" borderId="26" xfId="2" applyFont="1" applyBorder="1" applyAlignment="1">
      <alignment horizontal="left"/>
    </xf>
    <xf numFmtId="0" fontId="30" fillId="3" borderId="0" xfId="2" applyFont="1" applyFill="1" applyBorder="1" applyAlignment="1">
      <alignment horizontal="center" vertical="center"/>
    </xf>
    <xf numFmtId="0" fontId="30" fillId="3" borderId="24" xfId="2" applyFont="1" applyFill="1" applyBorder="1" applyAlignment="1">
      <alignment horizontal="center" vertical="center"/>
    </xf>
    <xf numFmtId="0" fontId="25" fillId="0" borderId="26" xfId="2" applyFont="1" applyBorder="1" applyAlignment="1">
      <alignment horizontal="center"/>
    </xf>
    <xf numFmtId="0" fontId="7" fillId="0" borderId="3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6" fontId="7" fillId="0" borderId="6" xfId="6" applyNumberFormat="1" applyFont="1" applyBorder="1" applyAlignment="1">
      <alignment horizontal="center" vertical="center" wrapText="1"/>
    </xf>
    <xf numFmtId="166" fontId="7" fillId="0" borderId="0" xfId="6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10" fillId="2" borderId="14" xfId="6" applyFont="1" applyFill="1" applyBorder="1" applyAlignment="1">
      <alignment horizontal="center" vertical="center"/>
    </xf>
    <xf numFmtId="0" fontId="10" fillId="2" borderId="11" xfId="6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indent="5"/>
    </xf>
    <xf numFmtId="0" fontId="9" fillId="0" borderId="7" xfId="0" applyFont="1" applyBorder="1" applyAlignment="1">
      <alignment horizontal="left" indent="5"/>
    </xf>
    <xf numFmtId="0" fontId="10" fillId="2" borderId="6" xfId="6" applyFont="1" applyFill="1" applyBorder="1" applyAlignment="1">
      <alignment horizontal="center" vertical="center"/>
    </xf>
    <xf numFmtId="0" fontId="10" fillId="2" borderId="0" xfId="6" applyFont="1" applyFill="1" applyBorder="1" applyAlignment="1">
      <alignment horizontal="center" vertical="center"/>
    </xf>
    <xf numFmtId="164" fontId="34" fillId="5" borderId="4" xfId="1" applyFont="1" applyFill="1" applyBorder="1" applyAlignment="1">
      <alignment horizontal="center" vertical="center" wrapText="1"/>
    </xf>
    <xf numFmtId="164" fontId="34" fillId="5" borderId="5" xfId="1" applyFont="1" applyFill="1" applyBorder="1" applyAlignment="1">
      <alignment horizontal="center" vertical="center" wrapText="1"/>
    </xf>
    <xf numFmtId="0" fontId="34" fillId="5" borderId="0" xfId="0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 wrapText="1"/>
    </xf>
    <xf numFmtId="164" fontId="36" fillId="2" borderId="0" xfId="1" applyFont="1" applyFill="1" applyBorder="1" applyAlignment="1">
      <alignment horizontal="center" vertical="center" wrapText="1"/>
    </xf>
    <xf numFmtId="164" fontId="36" fillId="5" borderId="0" xfId="1" applyFont="1" applyFill="1" applyBorder="1" applyAlignment="1">
      <alignment horizontal="center" vertical="top" wrapText="1"/>
    </xf>
    <xf numFmtId="164" fontId="36" fillId="5" borderId="8" xfId="1" applyFont="1" applyFill="1" applyBorder="1" applyAlignment="1">
      <alignment horizontal="center" vertical="top" wrapText="1"/>
    </xf>
    <xf numFmtId="164" fontId="36" fillId="2" borderId="7" xfId="1" applyFont="1" applyFill="1" applyBorder="1" applyAlignment="1">
      <alignment horizontal="center" vertical="center" wrapText="1"/>
    </xf>
    <xf numFmtId="0" fontId="41" fillId="5" borderId="0" xfId="0" applyFont="1" applyFill="1" applyBorder="1" applyAlignment="1">
      <alignment horizontal="center" vertical="center" wrapText="1"/>
    </xf>
    <xf numFmtId="0" fontId="41" fillId="5" borderId="7" xfId="0" applyFont="1" applyFill="1" applyBorder="1" applyAlignment="1">
      <alignment horizontal="center" vertical="center" wrapText="1"/>
    </xf>
    <xf numFmtId="166" fontId="34" fillId="0" borderId="0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2 2" xfId="6"/>
    <cellStyle name="Normal 3" xfId="3"/>
    <cellStyle name="ParaBirimi" xfId="1" builtinId="4"/>
    <cellStyle name="ParaBirimi 2" xfId="4"/>
    <cellStyle name="ParaBirimi 2 2" xfId="5"/>
  </cellStyles>
  <dxfs count="0"/>
  <tableStyles count="0" defaultTableStyle="TableStyleMedium2" defaultPivotStyle="PivotStyleMedium9"/>
  <colors>
    <mruColors>
      <color rgb="FF009999"/>
      <color rgb="FF006666"/>
      <color rgb="FF1E95A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95A2"/>
  </sheetPr>
  <dimension ref="A1:G45"/>
  <sheetViews>
    <sheetView view="pageBreakPreview" topLeftCell="A14" zoomScale="55" zoomScaleNormal="55" zoomScaleSheetLayoutView="55" zoomScalePageLayoutView="25" workbookViewId="0">
      <selection activeCell="E33" sqref="E33"/>
    </sheetView>
  </sheetViews>
  <sheetFormatPr defaultRowHeight="21" x14ac:dyDescent="0.35"/>
  <cols>
    <col min="1" max="1" width="70.28515625" style="7" customWidth="1"/>
    <col min="2" max="2" width="20.28515625" style="7" customWidth="1"/>
    <col min="3" max="3" width="2.140625" style="7" customWidth="1"/>
    <col min="4" max="4" width="1.85546875" style="7" customWidth="1"/>
    <col min="5" max="5" width="36.42578125" style="15" customWidth="1"/>
    <col min="6" max="6" width="14.85546875" style="7" customWidth="1"/>
    <col min="7" max="7" width="254.5703125" style="7" customWidth="1"/>
    <col min="8" max="16384" width="9.140625" style="7"/>
  </cols>
  <sheetData>
    <row r="1" spans="1:6" ht="15" customHeight="1" x14ac:dyDescent="0.25">
      <c r="A1" s="198" t="s">
        <v>23</v>
      </c>
      <c r="B1" s="199"/>
      <c r="C1" s="199"/>
      <c r="D1" s="199"/>
      <c r="E1" s="199"/>
      <c r="F1" s="199"/>
    </row>
    <row r="2" spans="1:6" ht="15" customHeight="1" x14ac:dyDescent="0.25">
      <c r="A2" s="200"/>
      <c r="B2" s="201"/>
      <c r="C2" s="201"/>
      <c r="D2" s="201"/>
      <c r="E2" s="201"/>
      <c r="F2" s="201"/>
    </row>
    <row r="3" spans="1:6" ht="30" customHeight="1" x14ac:dyDescent="0.25">
      <c r="A3" s="196">
        <v>45838</v>
      </c>
      <c r="B3" s="197"/>
      <c r="C3" s="197"/>
      <c r="D3" s="197"/>
      <c r="E3" s="197" t="s">
        <v>24</v>
      </c>
      <c r="F3" s="197"/>
    </row>
    <row r="4" spans="1:6" ht="6" customHeight="1" thickBot="1" x14ac:dyDescent="0.3">
      <c r="A4" s="114"/>
      <c r="B4" s="115"/>
      <c r="C4" s="115"/>
      <c r="D4" s="115"/>
      <c r="E4" s="115"/>
      <c r="F4" s="116"/>
    </row>
    <row r="5" spans="1:6" ht="32.25" customHeight="1" thickTop="1" x14ac:dyDescent="0.25">
      <c r="A5" s="202" t="s">
        <v>4</v>
      </c>
      <c r="B5" s="203"/>
      <c r="C5" s="203"/>
      <c r="D5" s="203"/>
      <c r="E5" s="204" t="s">
        <v>2</v>
      </c>
      <c r="F5" s="205"/>
    </row>
    <row r="6" spans="1:6" ht="15" customHeight="1" x14ac:dyDescent="0.25">
      <c r="A6" s="112"/>
      <c r="B6" s="113"/>
      <c r="C6" s="11"/>
      <c r="D6" s="8"/>
      <c r="E6" s="117"/>
      <c r="F6" s="118"/>
    </row>
    <row r="7" spans="1:6" ht="27" x14ac:dyDescent="0.5">
      <c r="A7" s="109" t="s">
        <v>74</v>
      </c>
      <c r="B7" s="34">
        <v>17.239999999999998</v>
      </c>
      <c r="C7" s="11"/>
      <c r="D7" s="8"/>
      <c r="E7" s="6" t="s">
        <v>6</v>
      </c>
      <c r="F7" s="111">
        <v>3.59</v>
      </c>
    </row>
    <row r="8" spans="1:6" ht="27.75" customHeight="1" x14ac:dyDescent="0.5">
      <c r="A8" s="10"/>
      <c r="B8" s="34"/>
      <c r="C8" s="11"/>
      <c r="D8" s="8"/>
      <c r="E8" s="6"/>
      <c r="F8" s="17"/>
    </row>
    <row r="9" spans="1:6" ht="29.25" customHeight="1" x14ac:dyDescent="0.5">
      <c r="A9" s="10"/>
      <c r="B9" s="26"/>
      <c r="C9" s="11"/>
      <c r="D9" s="8"/>
      <c r="E9" s="6"/>
      <c r="F9" s="17"/>
    </row>
    <row r="10" spans="1:6" ht="19.5" customHeight="1" x14ac:dyDescent="0.5">
      <c r="A10" s="5"/>
      <c r="B10" s="27"/>
      <c r="C10" s="11"/>
      <c r="D10" s="8"/>
      <c r="E10" s="207" t="s">
        <v>1</v>
      </c>
      <c r="F10" s="210"/>
    </row>
    <row r="11" spans="1:6" ht="15" customHeight="1" x14ac:dyDescent="0.25">
      <c r="A11" s="206" t="s">
        <v>5</v>
      </c>
      <c r="B11" s="207"/>
      <c r="C11" s="11"/>
      <c r="D11" s="8"/>
      <c r="E11" s="207"/>
      <c r="F11" s="210"/>
    </row>
    <row r="12" spans="1:6" ht="37.5" customHeight="1" x14ac:dyDescent="0.5">
      <c r="A12" s="206"/>
      <c r="B12" s="207"/>
      <c r="C12" s="11"/>
      <c r="D12" s="8"/>
      <c r="E12" s="16" t="s">
        <v>12</v>
      </c>
      <c r="F12" s="101">
        <v>10.26</v>
      </c>
    </row>
    <row r="13" spans="1:6" ht="33.75" customHeight="1" x14ac:dyDescent="0.5">
      <c r="A13" s="109" t="s">
        <v>75</v>
      </c>
      <c r="B13" s="28">
        <v>64.25</v>
      </c>
      <c r="C13" s="11"/>
      <c r="D13" s="8"/>
      <c r="E13" s="6" t="s">
        <v>11</v>
      </c>
      <c r="F13" s="100">
        <v>22.9</v>
      </c>
    </row>
    <row r="14" spans="1:6" ht="36.75" customHeight="1" x14ac:dyDescent="0.5">
      <c r="A14" s="109" t="s">
        <v>76</v>
      </c>
      <c r="B14" s="28">
        <v>58.3</v>
      </c>
      <c r="C14" s="11"/>
      <c r="D14" s="8"/>
      <c r="E14" s="6" t="s">
        <v>13</v>
      </c>
      <c r="F14" s="101">
        <v>22.9</v>
      </c>
    </row>
    <row r="15" spans="1:6" ht="33" customHeight="1" x14ac:dyDescent="0.5">
      <c r="A15" s="192" t="s">
        <v>77</v>
      </c>
      <c r="B15" s="28">
        <v>161.49</v>
      </c>
      <c r="C15" s="11"/>
      <c r="D15" s="8"/>
      <c r="E15" s="6" t="s">
        <v>10</v>
      </c>
      <c r="F15" s="100">
        <v>22.9</v>
      </c>
    </row>
    <row r="16" spans="1:6" ht="33.75" customHeight="1" x14ac:dyDescent="0.5">
      <c r="A16" s="10"/>
      <c r="B16" s="29"/>
      <c r="C16" s="11"/>
      <c r="D16" s="8"/>
      <c r="E16" s="6" t="s">
        <v>14</v>
      </c>
      <c r="F16" s="100">
        <v>22.9</v>
      </c>
    </row>
    <row r="17" spans="1:7" ht="30.75" customHeight="1" x14ac:dyDescent="0.5">
      <c r="A17" s="10"/>
      <c r="B17" s="30"/>
      <c r="C17" s="11"/>
      <c r="D17" s="8"/>
      <c r="E17" s="6" t="s">
        <v>15</v>
      </c>
      <c r="F17" s="108">
        <v>30.47</v>
      </c>
    </row>
    <row r="18" spans="1:7" ht="27" customHeight="1" x14ac:dyDescent="0.5">
      <c r="A18" s="206" t="s">
        <v>3</v>
      </c>
      <c r="B18" s="207"/>
      <c r="C18" s="11"/>
      <c r="D18" s="8"/>
      <c r="E18" s="6" t="s">
        <v>17</v>
      </c>
      <c r="F18" s="101">
        <v>10.95</v>
      </c>
    </row>
    <row r="19" spans="1:7" ht="24.75" customHeight="1" x14ac:dyDescent="0.5">
      <c r="A19" s="206"/>
      <c r="B19" s="207"/>
      <c r="C19" s="11"/>
      <c r="D19" s="8"/>
      <c r="E19" s="6" t="s">
        <v>18</v>
      </c>
      <c r="F19" s="99">
        <v>8.36</v>
      </c>
    </row>
    <row r="20" spans="1:7" ht="30" customHeight="1" x14ac:dyDescent="0.5">
      <c r="A20" s="10" t="s">
        <v>78</v>
      </c>
      <c r="B20" s="29">
        <v>14.53</v>
      </c>
      <c r="C20" s="11"/>
      <c r="D20" s="8"/>
      <c r="E20" s="6" t="s">
        <v>16</v>
      </c>
      <c r="F20" s="100">
        <v>30.47</v>
      </c>
      <c r="G20" s="7" t="s">
        <v>0</v>
      </c>
    </row>
    <row r="21" spans="1:7" ht="24.75" customHeight="1" x14ac:dyDescent="0.5">
      <c r="A21" s="12"/>
      <c r="B21" s="21"/>
      <c r="C21" s="11"/>
      <c r="D21" s="8"/>
      <c r="E21" s="6" t="s">
        <v>19</v>
      </c>
      <c r="F21" s="100">
        <v>14.28</v>
      </c>
    </row>
    <row r="22" spans="1:7" ht="24.75" customHeight="1" x14ac:dyDescent="0.5">
      <c r="A22" s="5"/>
      <c r="B22" s="25"/>
      <c r="C22" s="11"/>
      <c r="D22" s="8"/>
      <c r="E22" s="6" t="s">
        <v>20</v>
      </c>
      <c r="F22" s="100">
        <v>4.13</v>
      </c>
    </row>
    <row r="23" spans="1:7" ht="24.75" customHeight="1" x14ac:dyDescent="0.5">
      <c r="A23" s="5"/>
      <c r="B23" s="25"/>
      <c r="C23" s="11"/>
      <c r="D23" s="8"/>
      <c r="E23" s="6"/>
      <c r="F23" s="23"/>
    </row>
    <row r="24" spans="1:7" ht="24.75" customHeight="1" x14ac:dyDescent="0.5">
      <c r="A24" s="206" t="s">
        <v>22</v>
      </c>
      <c r="B24" s="207"/>
      <c r="C24" s="11"/>
      <c r="D24" s="8"/>
      <c r="E24" s="6"/>
      <c r="F24" s="23"/>
    </row>
    <row r="25" spans="1:7" ht="24.75" customHeight="1" x14ac:dyDescent="0.5">
      <c r="A25" s="206"/>
      <c r="B25" s="207"/>
      <c r="C25" s="11"/>
      <c r="D25" s="8"/>
      <c r="E25" s="6"/>
      <c r="F25" s="23"/>
    </row>
    <row r="26" spans="1:7" ht="24.75" customHeight="1" x14ac:dyDescent="0.5">
      <c r="A26" s="10" t="s">
        <v>79</v>
      </c>
      <c r="B26" s="26">
        <v>27.19</v>
      </c>
      <c r="C26" s="11"/>
      <c r="D26" s="8"/>
      <c r="E26" s="207" t="s">
        <v>9</v>
      </c>
      <c r="F26" s="210"/>
    </row>
    <row r="27" spans="1:7" ht="24.75" customHeight="1" x14ac:dyDescent="0.5">
      <c r="A27" s="5"/>
      <c r="B27" s="26"/>
      <c r="C27" s="11"/>
      <c r="D27" s="8"/>
      <c r="E27" s="207"/>
      <c r="F27" s="210"/>
    </row>
    <row r="28" spans="1:7" ht="21.75" customHeight="1" x14ac:dyDescent="0.5">
      <c r="A28" s="5"/>
      <c r="B28" s="25"/>
      <c r="C28" s="11"/>
      <c r="D28" s="8"/>
      <c r="E28" s="207"/>
      <c r="F28" s="210"/>
    </row>
    <row r="29" spans="1:7" ht="26.25" customHeight="1" x14ac:dyDescent="0.5">
      <c r="A29" s="208" t="s">
        <v>26</v>
      </c>
      <c r="B29" s="209"/>
      <c r="C29" s="11"/>
      <c r="D29" s="8"/>
      <c r="E29" s="110" t="s">
        <v>41</v>
      </c>
      <c r="F29" s="24">
        <v>22.48</v>
      </c>
      <c r="G29" s="22"/>
    </row>
    <row r="30" spans="1:7" ht="24.75" customHeight="1" x14ac:dyDescent="0.5">
      <c r="A30" s="208"/>
      <c r="B30" s="209"/>
      <c r="C30" s="11"/>
      <c r="D30" s="8"/>
      <c r="E30" s="36" t="s">
        <v>72</v>
      </c>
      <c r="F30" s="24">
        <v>31.9</v>
      </c>
    </row>
    <row r="31" spans="1:7" ht="24.75" x14ac:dyDescent="0.5">
      <c r="A31" s="5" t="s">
        <v>21</v>
      </c>
      <c r="B31" s="35">
        <v>18.46</v>
      </c>
      <c r="C31" s="8"/>
      <c r="D31" s="130"/>
      <c r="F31" s="4"/>
    </row>
    <row r="32" spans="1:7" ht="24.75" customHeight="1" x14ac:dyDescent="0.5">
      <c r="A32" s="5" t="s">
        <v>65</v>
      </c>
      <c r="B32" s="31">
        <v>23.63</v>
      </c>
      <c r="C32" s="11"/>
      <c r="D32" s="8"/>
      <c r="E32" s="36"/>
      <c r="F32" s="37"/>
      <c r="G32" s="6"/>
    </row>
    <row r="33" spans="1:7" ht="24.75" customHeight="1" x14ac:dyDescent="0.5">
      <c r="A33" s="5" t="s">
        <v>43</v>
      </c>
      <c r="B33" s="31">
        <v>23.82</v>
      </c>
      <c r="C33" s="11"/>
      <c r="D33" s="8"/>
      <c r="E33" s="36"/>
      <c r="F33" s="37"/>
    </row>
    <row r="34" spans="1:7" ht="22.5" customHeight="1" x14ac:dyDescent="0.5">
      <c r="A34" s="5" t="s">
        <v>69</v>
      </c>
      <c r="B34" s="31">
        <v>39.07</v>
      </c>
      <c r="C34" s="11"/>
      <c r="D34" s="8"/>
      <c r="E34" s="36"/>
      <c r="F34" s="37"/>
    </row>
    <row r="35" spans="1:7" ht="22.5" customHeight="1" x14ac:dyDescent="0.5">
      <c r="A35" s="5" t="s">
        <v>27</v>
      </c>
      <c r="B35" s="31">
        <v>14.57</v>
      </c>
      <c r="C35" s="11"/>
      <c r="D35" s="8"/>
      <c r="E35" s="36"/>
      <c r="F35" s="37"/>
    </row>
    <row r="36" spans="1:7" ht="24.75" customHeight="1" x14ac:dyDescent="0.5">
      <c r="A36" s="5" t="s">
        <v>66</v>
      </c>
      <c r="B36" s="31">
        <v>19.75</v>
      </c>
      <c r="C36" s="11"/>
      <c r="D36" s="8"/>
      <c r="E36" s="36"/>
      <c r="F36" s="37"/>
    </row>
    <row r="37" spans="1:7" ht="24.75" customHeight="1" x14ac:dyDescent="0.5">
      <c r="A37" s="147" t="s">
        <v>70</v>
      </c>
      <c r="B37" s="35">
        <v>16.18</v>
      </c>
      <c r="C37" s="11"/>
      <c r="D37" s="8"/>
      <c r="E37" s="36"/>
      <c r="F37" s="37"/>
    </row>
    <row r="38" spans="1:7" ht="24.75" x14ac:dyDescent="0.5">
      <c r="A38" s="5" t="s">
        <v>71</v>
      </c>
      <c r="B38" s="31">
        <v>39.950000000000003</v>
      </c>
      <c r="C38" s="11"/>
      <c r="D38" s="8"/>
      <c r="F38" s="18"/>
      <c r="G38" s="6"/>
    </row>
    <row r="39" spans="1:7" ht="24.75" x14ac:dyDescent="0.5">
      <c r="A39" s="5" t="s">
        <v>46</v>
      </c>
      <c r="B39" s="31">
        <v>40.15</v>
      </c>
      <c r="C39" s="11"/>
      <c r="D39" s="8"/>
      <c r="F39" s="18"/>
    </row>
    <row r="40" spans="1:7" ht="24.75" x14ac:dyDescent="0.5">
      <c r="A40" s="5" t="s">
        <v>67</v>
      </c>
      <c r="B40" s="35">
        <v>52.08</v>
      </c>
      <c r="C40" s="11"/>
      <c r="D40"/>
      <c r="F40" s="4"/>
    </row>
    <row r="41" spans="1:7" ht="24.75" x14ac:dyDescent="0.5">
      <c r="A41" s="147" t="s">
        <v>68</v>
      </c>
      <c r="B41" s="35">
        <v>52.77</v>
      </c>
      <c r="C41" s="8"/>
      <c r="D41" s="130"/>
      <c r="F41" s="4"/>
    </row>
    <row r="42" spans="1:7" ht="24.75" x14ac:dyDescent="0.5">
      <c r="A42" s="5"/>
      <c r="B42" s="35"/>
      <c r="C42" s="8"/>
      <c r="D42" s="130"/>
      <c r="F42" s="4"/>
    </row>
    <row r="43" spans="1:7" ht="24.75" x14ac:dyDescent="0.5">
      <c r="A43" s="147"/>
      <c r="B43" s="35"/>
      <c r="C43" s="8"/>
      <c r="D43" s="130"/>
      <c r="F43" s="4"/>
    </row>
    <row r="44" spans="1:7" ht="24.75" x14ac:dyDescent="0.5">
      <c r="A44" s="14"/>
      <c r="B44" s="9"/>
    </row>
    <row r="45" spans="1:7" ht="24.75" x14ac:dyDescent="0.5">
      <c r="A45" s="6"/>
      <c r="B45" s="13"/>
    </row>
  </sheetData>
  <mergeCells count="11">
    <mergeCell ref="A18:B19"/>
    <mergeCell ref="A11:B12"/>
    <mergeCell ref="A24:B25"/>
    <mergeCell ref="A29:B30"/>
    <mergeCell ref="E10:F11"/>
    <mergeCell ref="E26:F28"/>
    <mergeCell ref="A3:D3"/>
    <mergeCell ref="E3:F3"/>
    <mergeCell ref="A1:F2"/>
    <mergeCell ref="A5:D5"/>
    <mergeCell ref="E5:F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8" fitToWidth="0" orientation="portrait" horizontalDpi="4294967294" verticalDpi="4294967294" r:id="rId1"/>
  <rowBreaks count="1" manualBreakCount="1">
    <brk id="43" max="5" man="1"/>
  </rowBreaks>
  <colBreaks count="1" manualBreakCount="1">
    <brk id="6" max="4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9"/>
  <sheetViews>
    <sheetView zoomScale="55" zoomScaleNormal="55" workbookViewId="0">
      <selection activeCell="D19" sqref="D19"/>
    </sheetView>
  </sheetViews>
  <sheetFormatPr defaultRowHeight="15" x14ac:dyDescent="0.25"/>
  <cols>
    <col min="1" max="1" width="67.5703125" customWidth="1"/>
    <col min="2" max="2" width="16.7109375" customWidth="1"/>
    <col min="3" max="3" width="6.28515625" customWidth="1"/>
    <col min="4" max="4" width="5.28515625" customWidth="1"/>
    <col min="5" max="5" width="40.85546875" customWidth="1"/>
    <col min="6" max="6" width="19.42578125" customWidth="1"/>
  </cols>
  <sheetData>
    <row r="1" spans="1:6" x14ac:dyDescent="0.25">
      <c r="A1" s="198" t="s">
        <v>23</v>
      </c>
      <c r="B1" s="199"/>
      <c r="C1" s="199"/>
      <c r="D1" s="199"/>
      <c r="E1" s="199"/>
      <c r="F1" s="211"/>
    </row>
    <row r="2" spans="1:6" x14ac:dyDescent="0.25">
      <c r="A2" s="200"/>
      <c r="B2" s="201"/>
      <c r="C2" s="201"/>
      <c r="D2" s="201"/>
      <c r="E2" s="201"/>
      <c r="F2" s="212"/>
    </row>
    <row r="3" spans="1:6" ht="32.25" customHeight="1" x14ac:dyDescent="0.25">
      <c r="A3" s="196">
        <f>'SELF MENÜ (5)'!A3:D3</f>
        <v>45838</v>
      </c>
      <c r="B3" s="197"/>
      <c r="C3" s="197"/>
      <c r="D3" s="197"/>
      <c r="E3" s="197" t="s">
        <v>29</v>
      </c>
      <c r="F3" s="215"/>
    </row>
    <row r="4" spans="1:6" ht="21" customHeight="1" thickBot="1" x14ac:dyDescent="0.3">
      <c r="A4" s="213"/>
      <c r="B4" s="214"/>
      <c r="C4" s="38"/>
      <c r="D4" s="38"/>
      <c r="E4" s="214"/>
      <c r="F4" s="216"/>
    </row>
    <row r="5" spans="1:6" ht="44.25" customHeight="1" thickTop="1" x14ac:dyDescent="0.25">
      <c r="A5" s="202" t="s">
        <v>4</v>
      </c>
      <c r="B5" s="203"/>
      <c r="C5" s="203"/>
      <c r="D5" s="203"/>
      <c r="E5" s="204" t="s">
        <v>2</v>
      </c>
      <c r="F5" s="205"/>
    </row>
    <row r="6" spans="1:6" ht="27" x14ac:dyDescent="0.5">
      <c r="A6" s="109" t="str">
        <f>IF('SELF MENÜ (5)'!A7="", "",'SELF MENÜ (5)'!A7)</f>
        <v>EZOGELİN ÇORBASI</v>
      </c>
      <c r="B6" s="34">
        <v>18.420000000000002</v>
      </c>
      <c r="C6" s="11"/>
      <c r="D6" s="8"/>
      <c r="E6" s="6" t="str">
        <f>IF('SELF MENÜ (5)'!E7="", "", 'SELF MENÜ (5)'!E7)</f>
        <v>ROL EKMEK</v>
      </c>
      <c r="F6" s="47">
        <f>IF('SELF MENÜ (5)'!F7="", "", 'SELF MENÜ (5)'!F7)</f>
        <v>3.59</v>
      </c>
    </row>
    <row r="7" spans="1:6" ht="27" x14ac:dyDescent="0.5">
      <c r="A7" s="109" t="str">
        <f>IF('SELF MENÜ (5)'!A8="", "",'SELF MENÜ (5)'!A8)</f>
        <v/>
      </c>
      <c r="B7" s="34"/>
      <c r="C7" s="11"/>
      <c r="D7" s="8"/>
      <c r="E7" s="6" t="str">
        <f>IF('SELF MENÜ (5)'!E8="", "", 'SELF MENÜ (5)'!E8)</f>
        <v/>
      </c>
      <c r="F7" s="47" t="str">
        <f>IF('SELF MENÜ (5)'!F8="", "", 'SELF MENÜ (5)'!F8)</f>
        <v/>
      </c>
    </row>
    <row r="8" spans="1:6" ht="24.75" customHeight="1" x14ac:dyDescent="0.5">
      <c r="A8" s="109" t="str">
        <f>IF('SELF MENÜ (5)'!A9="", "",'SELF MENÜ (5)'!A9)</f>
        <v/>
      </c>
      <c r="B8" s="26"/>
      <c r="C8" s="11"/>
      <c r="D8" s="8"/>
      <c r="E8" s="6" t="str">
        <f>IF('SELF MENÜ (5)'!E9="", "", 'SELF MENÜ (5)'!E9)</f>
        <v/>
      </c>
      <c r="F8" s="47" t="str">
        <f>IF('SELF MENÜ (5)'!F9="", "", 'SELF MENÜ (5)'!F9)</f>
        <v/>
      </c>
    </row>
    <row r="9" spans="1:6" ht="25.5" customHeight="1" x14ac:dyDescent="0.5">
      <c r="A9" s="109" t="str">
        <f>IF('SELF MENÜ (5)'!A10="", "",'SELF MENÜ (5)'!A10)</f>
        <v/>
      </c>
      <c r="B9" s="27"/>
      <c r="C9" s="11"/>
      <c r="D9" s="8"/>
      <c r="E9" s="207" t="s">
        <v>1</v>
      </c>
      <c r="F9" s="210"/>
    </row>
    <row r="10" spans="1:6" ht="15" customHeight="1" x14ac:dyDescent="0.25">
      <c r="A10" s="206" t="s">
        <v>5</v>
      </c>
      <c r="B10" s="207"/>
      <c r="C10" s="11"/>
      <c r="D10" s="8"/>
      <c r="E10" s="207"/>
      <c r="F10" s="210"/>
    </row>
    <row r="11" spans="1:6" ht="24.75" customHeight="1" x14ac:dyDescent="0.25">
      <c r="A11" s="206"/>
      <c r="B11" s="207"/>
      <c r="C11" s="11"/>
      <c r="D11" s="8"/>
      <c r="E11" s="16" t="str">
        <f>IF('SELF MENÜ (5)'!E12="","",'SELF MENÜ (5)'!E12)</f>
        <v>AYRAN 300 GR</v>
      </c>
      <c r="F11" s="99">
        <f>IF('SELF MENÜ (5)'!F12="", "", 'SELF MENÜ (5)'!F12)</f>
        <v>10.26</v>
      </c>
    </row>
    <row r="12" spans="1:6" ht="27.75" customHeight="1" x14ac:dyDescent="0.5">
      <c r="A12" s="109" t="str">
        <f>IF('SELF MENÜ (5)'!A13="", "", 'SELF MENÜ (5)'!A13)</f>
        <v>BAMYA YEMEĞİ</v>
      </c>
      <c r="B12" s="28">
        <v>68.650000000000006</v>
      </c>
      <c r="C12" s="11"/>
      <c r="D12" s="8"/>
      <c r="E12" s="16" t="str">
        <f>IF('SELF MENÜ (5)'!E13="","",'SELF MENÜ (5)'!E13)</f>
        <v>FANTA KUTU</v>
      </c>
      <c r="F12" s="99">
        <f>IF('SELF MENÜ (5)'!F13="", "", 'SELF MENÜ (5)'!F13)</f>
        <v>22.9</v>
      </c>
    </row>
    <row r="13" spans="1:6" ht="26.25" customHeight="1" x14ac:dyDescent="0.5">
      <c r="A13" s="109" t="str">
        <f>IF('SELF MENÜ (5)'!A14="", "", 'SELF MENÜ (5)'!A14)</f>
        <v>TAVUK BUT ROTİ</v>
      </c>
      <c r="B13" s="28">
        <v>62.29</v>
      </c>
      <c r="C13" s="11"/>
      <c r="D13" s="8"/>
      <c r="E13" s="16" t="str">
        <f>IF('SELF MENÜ (5)'!E14="","",'SELF MENÜ (5)'!E14)</f>
        <v>GAZOZ KUTU</v>
      </c>
      <c r="F13" s="99">
        <f>IF('SELF MENÜ (5)'!F14="", "", 'SELF MENÜ (5)'!F14)</f>
        <v>22.9</v>
      </c>
    </row>
    <row r="14" spans="1:6" ht="27" x14ac:dyDescent="0.5">
      <c r="A14" s="109" t="str">
        <f>IF('SELF MENÜ (5)'!A15="", "", 'SELF MENÜ (5)'!A15)</f>
        <v>HASANPAŞA KÖFTE</v>
      </c>
      <c r="B14" s="28">
        <v>172.56</v>
      </c>
      <c r="C14" s="11"/>
      <c r="D14" s="8"/>
      <c r="E14" s="16" t="str">
        <f>IF('SELF MENÜ (5)'!E15="","",'SELF MENÜ (5)'!E15)</f>
        <v>KOLA KUTU</v>
      </c>
      <c r="F14" s="99">
        <f>IF('SELF MENÜ (5)'!F15="", "", 'SELF MENÜ (5)'!F15)</f>
        <v>22.9</v>
      </c>
    </row>
    <row r="15" spans="1:6" ht="24.75" customHeight="1" x14ac:dyDescent="0.5">
      <c r="A15" s="109" t="str">
        <f>IF('SELF MENÜ (5)'!A16="", "", 'SELF MENÜ (5)'!A16)</f>
        <v/>
      </c>
      <c r="B15" s="29"/>
      <c r="C15" s="11"/>
      <c r="D15" s="8"/>
      <c r="E15" s="16" t="str">
        <f>IF('SELF MENÜ (5)'!E16="","",'SELF MENÜ (5)'!E16)</f>
        <v>KOLA KUTU ZERO</v>
      </c>
      <c r="F15" s="99">
        <f>IF('SELF MENÜ (5)'!F16="", "", 'SELF MENÜ (5)'!F16)</f>
        <v>22.9</v>
      </c>
    </row>
    <row r="16" spans="1:6" ht="24.75" customHeight="1" x14ac:dyDescent="0.5">
      <c r="A16" s="109" t="str">
        <f>IF('SELF MENÜ (5)'!A17="", "", 'SELF MENÜ (5)'!A17)</f>
        <v/>
      </c>
      <c r="B16" s="30"/>
      <c r="C16" s="11"/>
      <c r="D16" s="8"/>
      <c r="E16" s="16" t="str">
        <f>IF('SELF MENÜ (5)'!E17="","",'SELF MENÜ (5)'!E17)</f>
        <v>MEYVE SUYU KUTU</v>
      </c>
      <c r="F16" s="99">
        <f>IF('SELF MENÜ (5)'!F17="", "", 'SELF MENÜ (5)'!F17)</f>
        <v>30.47</v>
      </c>
    </row>
    <row r="17" spans="1:9" ht="24.75" customHeight="1" x14ac:dyDescent="0.25">
      <c r="A17" s="206" t="s">
        <v>3</v>
      </c>
      <c r="B17" s="207"/>
      <c r="C17" s="11"/>
      <c r="D17" s="8"/>
      <c r="E17" s="16" t="str">
        <f>IF('SELF MENÜ (5)'!E18="","",'SELF MENÜ (5)'!E18)</f>
        <v>SODA MEYVELİ</v>
      </c>
      <c r="F17" s="99">
        <f>IF('SELF MENÜ (5)'!F18="", "", 'SELF MENÜ (5)'!F18)</f>
        <v>10.95</v>
      </c>
      <c r="H17" s="7"/>
      <c r="I17" s="7"/>
    </row>
    <row r="18" spans="1:9" ht="24.75" customHeight="1" x14ac:dyDescent="0.25">
      <c r="A18" s="206"/>
      <c r="B18" s="207"/>
      <c r="C18" s="11"/>
      <c r="D18" s="8"/>
      <c r="E18" s="16" t="str">
        <f>IF('SELF MENÜ (5)'!E19="","",'SELF MENÜ (5)'!E19)</f>
        <v>SODA SADE</v>
      </c>
      <c r="F18" s="99">
        <f>IF('SELF MENÜ (5)'!F19="", "", 'SELF MENÜ (5)'!F19)</f>
        <v>8.36</v>
      </c>
      <c r="H18" s="7"/>
      <c r="I18" s="7"/>
    </row>
    <row r="19" spans="1:9" ht="24.75" customHeight="1" x14ac:dyDescent="0.5">
      <c r="A19" s="109" t="str">
        <f>IF('SELF MENÜ (5)'!A20="", "", 'SELF MENÜ (5)'!A20)</f>
        <v>TEL ŞEHRİYELİ PİRİNÇ PİLAVI</v>
      </c>
      <c r="B19" s="29">
        <v>15.53</v>
      </c>
      <c r="C19" s="11"/>
      <c r="D19" s="8"/>
      <c r="E19" s="16" t="str">
        <f>IF('SELF MENÜ (5)'!E20="","",'SELF MENÜ (5)'!E20)</f>
        <v>SOĞUK ÇAY KUTU</v>
      </c>
      <c r="F19" s="99">
        <f>IF('SELF MENÜ (5)'!F20="", "", 'SELF MENÜ (5)'!F20)</f>
        <v>30.47</v>
      </c>
      <c r="H19" s="7"/>
      <c r="I19" s="7"/>
    </row>
    <row r="20" spans="1:9" ht="24.75" x14ac:dyDescent="0.5">
      <c r="A20" s="10" t="str">
        <f>IF('SELF MENÜ (5)'!A21="", "", 'SELF MENÜ (5)'!A21)</f>
        <v/>
      </c>
      <c r="B20" s="21"/>
      <c r="C20" s="11"/>
      <c r="D20" s="8"/>
      <c r="E20" s="16" t="str">
        <f>IF('SELF MENÜ (5)'!E21="","",'SELF MENÜ (5)'!E21)</f>
        <v>ŞALGAM</v>
      </c>
      <c r="F20" s="99">
        <f>IF('SELF MENÜ (5)'!F21="", "", 'SELF MENÜ (5)'!F21)</f>
        <v>14.28</v>
      </c>
    </row>
    <row r="21" spans="1:9" ht="24.75" customHeight="1" x14ac:dyDescent="0.5">
      <c r="A21" s="10" t="str">
        <f>IF('SELF MENÜ (5)'!A22="", "", 'SELF MENÜ (5)'!A22)</f>
        <v/>
      </c>
      <c r="B21" s="25"/>
      <c r="C21" s="11"/>
      <c r="D21" s="8"/>
      <c r="E21" s="16" t="str">
        <f>IF('SELF MENÜ (5)'!E22="","",'SELF MENÜ (5)'!E22)</f>
        <v>SU 0,5 LT</v>
      </c>
      <c r="F21" s="99">
        <f>IF('SELF MENÜ (5)'!F22="", "", 'SELF MENÜ (5)'!F22)</f>
        <v>4.13</v>
      </c>
    </row>
    <row r="22" spans="1:9" ht="24.75" customHeight="1" x14ac:dyDescent="0.5">
      <c r="A22" s="10" t="str">
        <f>IF('SELF MENÜ (5)'!A23="", "", 'SELF MENÜ (5)'!A23)</f>
        <v/>
      </c>
      <c r="B22" s="25"/>
      <c r="C22" s="11"/>
      <c r="D22" s="8"/>
      <c r="E22" s="16" t="str">
        <f>IF('SELF MENÜ (5)'!E23="","",'SELF MENÜ (5)'!E23)</f>
        <v/>
      </c>
      <c r="F22" s="99" t="str">
        <f>IF('SELF MENÜ (5)'!F23="", "", 'SELF MENÜ (5)'!F23)</f>
        <v/>
      </c>
    </row>
    <row r="23" spans="1:9" ht="24.75" customHeight="1" x14ac:dyDescent="0.25">
      <c r="A23" s="206" t="s">
        <v>22</v>
      </c>
      <c r="B23" s="207"/>
      <c r="C23" s="11"/>
      <c r="D23" s="8"/>
      <c r="E23" s="16" t="str">
        <f>IF('SELF MENÜ (5)'!E24="","",'SELF MENÜ (5)'!E24)</f>
        <v/>
      </c>
      <c r="F23" s="99" t="str">
        <f>IF('SELF MENÜ (5)'!F24="", "", 'SELF MENÜ (5)'!F24)</f>
        <v/>
      </c>
    </row>
    <row r="24" spans="1:9" ht="24.75" customHeight="1" x14ac:dyDescent="0.5">
      <c r="A24" s="206"/>
      <c r="B24" s="207"/>
      <c r="C24" s="11"/>
      <c r="D24" s="8"/>
      <c r="E24" s="6"/>
      <c r="F24" s="23"/>
    </row>
    <row r="25" spans="1:9" ht="24.75" customHeight="1" x14ac:dyDescent="0.5">
      <c r="A25" s="5" t="str">
        <f>IF('SELF MENÜ (5)'!A26="", "", 'SELF MENÜ (5)'!A26)</f>
        <v>MEVSİM SALATA</v>
      </c>
      <c r="B25" s="26">
        <v>29.05</v>
      </c>
      <c r="C25" s="11"/>
      <c r="D25" s="8"/>
      <c r="E25" s="7"/>
      <c r="F25" s="23"/>
    </row>
    <row r="26" spans="1:9" ht="24.75" x14ac:dyDescent="0.5">
      <c r="A26" s="5" t="str">
        <f>IF('SELF MENÜ (5)'!A27="", "", 'SELF MENÜ (5)'!A27)</f>
        <v/>
      </c>
      <c r="B26" s="26"/>
      <c r="C26" s="11"/>
      <c r="D26" s="8"/>
      <c r="E26" s="7"/>
      <c r="F26" s="23"/>
    </row>
    <row r="27" spans="1:9" ht="21.75" customHeight="1" x14ac:dyDescent="0.5">
      <c r="A27" s="5" t="str">
        <f>IF('SELF MENÜ (5)'!A28="", "", 'SELF MENÜ (5)'!A28)</f>
        <v/>
      </c>
      <c r="B27" s="25"/>
      <c r="C27" s="11"/>
      <c r="D27" s="8"/>
      <c r="E27" s="207" t="s">
        <v>9</v>
      </c>
      <c r="F27" s="210"/>
    </row>
    <row r="28" spans="1:9" ht="15" customHeight="1" x14ac:dyDescent="0.25">
      <c r="A28" s="208" t="s">
        <v>26</v>
      </c>
      <c r="B28" s="209"/>
      <c r="C28" s="11"/>
      <c r="D28" s="8"/>
      <c r="E28" s="207"/>
      <c r="F28" s="210"/>
    </row>
    <row r="29" spans="1:9" ht="12" customHeight="1" x14ac:dyDescent="0.25">
      <c r="A29" s="208"/>
      <c r="B29" s="209"/>
      <c r="C29" s="11"/>
      <c r="D29" s="8"/>
      <c r="E29" s="217" t="str">
        <f>IF('SELF MENÜ (5)'!E29="", "", 'SELF MENÜ (5)'!E29)</f>
        <v>KARPUZ</v>
      </c>
      <c r="F29" s="218">
        <v>24.02</v>
      </c>
    </row>
    <row r="30" spans="1:9" ht="22.5" customHeight="1" x14ac:dyDescent="0.5">
      <c r="A30" s="5" t="str">
        <f>IF('SELF MENÜ (5)'!A31="", "", 'SELF MENÜ (5)'!A31)</f>
        <v>CACIK</v>
      </c>
      <c r="B30" s="31">
        <v>19.72</v>
      </c>
      <c r="C30" s="11"/>
      <c r="D30" s="8"/>
      <c r="E30" s="217"/>
      <c r="F30" s="218"/>
    </row>
    <row r="31" spans="1:9" ht="24.75" customHeight="1" x14ac:dyDescent="0.5">
      <c r="A31" s="5" t="str">
        <f>IF('SELF MENÜ (5)'!A32="", "", 'SELF MENÜ (5)'!A32)</f>
        <v>HAVUÇ TARATOR</v>
      </c>
      <c r="B31" s="31">
        <v>25.25</v>
      </c>
      <c r="C31" s="11"/>
      <c r="D31" s="8"/>
      <c r="E31" s="103" t="str">
        <f>IF('SELF MENÜ (5)'!E30="", "", 'SELF MENÜ (5)'!E30)</f>
        <v>TRİLİÇE</v>
      </c>
      <c r="F31" s="102">
        <v>34.090000000000003</v>
      </c>
    </row>
    <row r="32" spans="1:9" ht="24.75" x14ac:dyDescent="0.5">
      <c r="A32" s="5" t="str">
        <f>IF('SELF MENÜ (5)'!A33="", "", 'SELF MENÜ (5)'!A33)</f>
        <v>HAYDARİ</v>
      </c>
      <c r="B32" s="31">
        <v>25.46</v>
      </c>
      <c r="C32" s="11"/>
      <c r="D32" s="8"/>
      <c r="E32" s="103" t="str">
        <f>IF('SELF MENÜ (5)'!E32="", "", 'SELF MENÜ (5)'!E32)</f>
        <v/>
      </c>
      <c r="F32" s="102"/>
    </row>
    <row r="33" spans="1:6" ht="24.75" x14ac:dyDescent="0.5">
      <c r="A33" s="5" t="str">
        <f>IF('SELF MENÜ (5)'!A34="", "", 'SELF MENÜ (5)'!A34)</f>
        <v>PANCAR TURŞUSU</v>
      </c>
      <c r="B33" s="31">
        <v>41.75</v>
      </c>
      <c r="C33" s="11"/>
      <c r="D33" s="8"/>
      <c r="E33" s="104" t="str">
        <f>IF('SELF MENÜ (5)'!E32="", "", 'SELF MENÜ (5)'!E32)</f>
        <v/>
      </c>
      <c r="F33" s="107"/>
    </row>
    <row r="34" spans="1:6" ht="24.75" customHeight="1" x14ac:dyDescent="0.5">
      <c r="A34" s="5" t="str">
        <f>IF('SELF MENÜ (5)'!A35="", "", 'SELF MENÜ (5)'!A35)</f>
        <v>PEMBE SULTAN</v>
      </c>
      <c r="B34" s="31">
        <v>15.57</v>
      </c>
      <c r="C34" s="11"/>
      <c r="D34" s="8"/>
      <c r="E34" s="207" t="s">
        <v>35</v>
      </c>
      <c r="F34" s="210"/>
    </row>
    <row r="35" spans="1:6" ht="24.75" x14ac:dyDescent="0.5">
      <c r="A35" s="5" t="str">
        <f>IF('SELF MENÜ (5)'!A36="", "", 'SELF MENÜ (5)'!A36)</f>
        <v>RUS SALATA</v>
      </c>
      <c r="B35" s="35">
        <v>21.1</v>
      </c>
      <c r="C35" s="11"/>
      <c r="D35" s="8"/>
      <c r="E35" s="14" t="s">
        <v>36</v>
      </c>
      <c r="F35" s="92">
        <v>222.37</v>
      </c>
    </row>
    <row r="36" spans="1:6" ht="24.75" customHeight="1" x14ac:dyDescent="0.5">
      <c r="A36" s="5" t="str">
        <f>IF('SELF MENÜ (5)'!A37="", "", 'SELF MENÜ (5)'!A37)</f>
        <v>KÖZLENMİŞ BİBER</v>
      </c>
      <c r="B36" s="31">
        <v>17.29</v>
      </c>
      <c r="C36" s="11"/>
      <c r="D36" s="8"/>
      <c r="E36" s="14" t="s">
        <v>38</v>
      </c>
      <c r="F36" s="93">
        <v>108.73</v>
      </c>
    </row>
    <row r="37" spans="1:6" ht="24.75" x14ac:dyDescent="0.5">
      <c r="A37" s="5" t="str">
        <f>IF('SELF MENÜ (5)'!A38="", "", 'SELF MENÜ (5)'!A38)</f>
        <v>YOĞURTLU MANTAR</v>
      </c>
      <c r="B37" s="26">
        <v>42.68</v>
      </c>
      <c r="C37" s="11"/>
      <c r="D37" s="8"/>
      <c r="E37" s="14" t="s">
        <v>37</v>
      </c>
      <c r="F37" s="93">
        <v>328.95</v>
      </c>
    </row>
    <row r="38" spans="1:6" ht="24.75" x14ac:dyDescent="0.5">
      <c r="A38" s="5" t="str">
        <f>IF('SELF MENÜ (5)'!A39="", "", 'SELF MENÜ (5)'!A39)</f>
        <v>PATLICAN MENÇE</v>
      </c>
      <c r="B38" s="26">
        <v>42.9</v>
      </c>
      <c r="C38" s="11"/>
      <c r="D38" s="8"/>
      <c r="E38" s="14" t="s">
        <v>28</v>
      </c>
      <c r="F38" s="92">
        <v>115.24</v>
      </c>
    </row>
    <row r="39" spans="1:6" ht="24.75" x14ac:dyDescent="0.5">
      <c r="A39" s="5" t="str">
        <f>IF('SELF MENÜ (5)'!A40="", "", 'SELF MENÜ (5)'!A40)</f>
        <v>Z.Y. BROKOLİ</v>
      </c>
      <c r="B39" s="26">
        <v>55.65</v>
      </c>
      <c r="C39" s="11"/>
      <c r="D39" s="8"/>
      <c r="E39" s="14"/>
      <c r="F39" s="93"/>
    </row>
    <row r="40" spans="1:6" ht="24.75" x14ac:dyDescent="0.5">
      <c r="A40" s="5" t="str">
        <f>IF('SELF MENÜ (5)'!A41="", "", 'SELF MENÜ (5)'!A41)</f>
        <v>Z.Y. BRÜKSEL LAHANA</v>
      </c>
      <c r="B40" s="31">
        <v>56.38</v>
      </c>
      <c r="C40" s="11"/>
      <c r="D40" s="8"/>
      <c r="F40" s="93"/>
    </row>
    <row r="41" spans="1:6" ht="24.75" x14ac:dyDescent="0.5">
      <c r="A41" s="5" t="str">
        <f>IF('SELF MENÜ (5)'!A42="", "", 'SELF MENÜ (5)'!A42)</f>
        <v/>
      </c>
      <c r="B41" s="31"/>
      <c r="C41" s="11"/>
      <c r="D41" s="8"/>
      <c r="E41" s="14"/>
      <c r="F41" s="93"/>
    </row>
    <row r="42" spans="1:6" ht="24.75" x14ac:dyDescent="0.5">
      <c r="A42" s="5" t="str">
        <f>IF('SELF MENÜ (5)'!A43="", "", 'SELF MENÜ (5)'!A43)</f>
        <v/>
      </c>
      <c r="B42" s="26"/>
      <c r="C42" s="11"/>
      <c r="D42" s="8"/>
      <c r="E42" s="14"/>
      <c r="F42" s="93"/>
    </row>
    <row r="43" spans="1:6" ht="24.75" x14ac:dyDescent="0.5">
      <c r="A43" s="5" t="str">
        <f>IF('SELF MENÜ (5)'!A44="", "", 'SELF MENÜ (5)'!A44)</f>
        <v/>
      </c>
      <c r="C43" s="11"/>
      <c r="D43" s="8"/>
      <c r="F43" s="93"/>
    </row>
    <row r="44" spans="1:6" ht="25.5" customHeight="1" thickBot="1" x14ac:dyDescent="0.55000000000000004">
      <c r="A44" s="96"/>
      <c r="B44" s="96"/>
      <c r="C44" s="97"/>
      <c r="D44" s="8"/>
      <c r="E44" s="46"/>
      <c r="F44" s="49"/>
    </row>
    <row r="45" spans="1:6" ht="15.75" customHeight="1" x14ac:dyDescent="0.25">
      <c r="D45" s="8"/>
    </row>
    <row r="46" spans="1:6" x14ac:dyDescent="0.25">
      <c r="D46" s="7"/>
    </row>
    <row r="47" spans="1:6" x14ac:dyDescent="0.25">
      <c r="D47" s="7"/>
    </row>
    <row r="48" spans="1:6" x14ac:dyDescent="0.25">
      <c r="D48" s="7"/>
    </row>
    <row r="49" spans="4:4" x14ac:dyDescent="0.25">
      <c r="D49" s="7"/>
    </row>
  </sheetData>
  <mergeCells count="15">
    <mergeCell ref="A28:B29"/>
    <mergeCell ref="E34:F34"/>
    <mergeCell ref="E29:E30"/>
    <mergeCell ref="F29:F30"/>
    <mergeCell ref="E9:F10"/>
    <mergeCell ref="E27:F28"/>
    <mergeCell ref="A10:B11"/>
    <mergeCell ref="A17:B18"/>
    <mergeCell ref="A23:B24"/>
    <mergeCell ref="A1:F2"/>
    <mergeCell ref="A3:B4"/>
    <mergeCell ref="C3:D3"/>
    <mergeCell ref="E3:F4"/>
    <mergeCell ref="E5:F5"/>
    <mergeCell ref="A5:D5"/>
  </mergeCells>
  <pageMargins left="0.25" right="0.25" top="0.75" bottom="0.75" header="0.3" footer="0.3"/>
  <pageSetup paperSize="9" scale="63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44"/>
  <sheetViews>
    <sheetView zoomScale="40" zoomScaleNormal="40" workbookViewId="0">
      <selection activeCell="E38" sqref="E38"/>
    </sheetView>
  </sheetViews>
  <sheetFormatPr defaultRowHeight="15" x14ac:dyDescent="0.25"/>
  <cols>
    <col min="1" max="1" width="76.7109375" customWidth="1"/>
    <col min="2" max="2" width="33" customWidth="1"/>
    <col min="3" max="3" width="25.85546875" customWidth="1"/>
    <col min="4" max="4" width="24.7109375" customWidth="1"/>
    <col min="5" max="5" width="65.5703125" customWidth="1"/>
    <col min="6" max="6" width="61.5703125" customWidth="1"/>
  </cols>
  <sheetData>
    <row r="1" spans="1:6" x14ac:dyDescent="0.25">
      <c r="A1" s="198" t="s">
        <v>23</v>
      </c>
      <c r="B1" s="199"/>
      <c r="C1" s="199"/>
      <c r="D1" s="199"/>
      <c r="E1" s="199"/>
      <c r="F1" s="211"/>
    </row>
    <row r="2" spans="1:6" x14ac:dyDescent="0.25">
      <c r="A2" s="200"/>
      <c r="B2" s="201"/>
      <c r="C2" s="201"/>
      <c r="D2" s="201"/>
      <c r="E2" s="201"/>
      <c r="F2" s="212"/>
    </row>
    <row r="3" spans="1:6" ht="32.25" thickBot="1" x14ac:dyDescent="0.3">
      <c r="A3" s="196">
        <f>'ALAKART DİKEY (2)'!A3:B4</f>
        <v>45838</v>
      </c>
      <c r="B3" s="197"/>
      <c r="C3" s="197"/>
      <c r="D3" s="197"/>
      <c r="E3" s="197" t="s">
        <v>29</v>
      </c>
      <c r="F3" s="215"/>
    </row>
    <row r="4" spans="1:6" ht="32.25" hidden="1" thickBot="1" x14ac:dyDescent="0.3">
      <c r="A4" s="213"/>
      <c r="B4" s="214"/>
      <c r="C4" s="38"/>
      <c r="D4" s="38"/>
      <c r="E4" s="214"/>
      <c r="F4" s="216"/>
    </row>
    <row r="5" spans="1:6" s="98" customFormat="1" ht="36.75" customHeight="1" thickTop="1" x14ac:dyDescent="0.25">
      <c r="A5" s="202" t="s">
        <v>4</v>
      </c>
      <c r="B5" s="203"/>
      <c r="C5" s="203"/>
      <c r="D5" s="203"/>
      <c r="E5" s="204" t="s">
        <v>2</v>
      </c>
      <c r="F5" s="205"/>
    </row>
    <row r="6" spans="1:6" ht="15" customHeight="1" x14ac:dyDescent="0.25">
      <c r="A6" s="208"/>
      <c r="B6" s="209"/>
      <c r="C6" s="209"/>
      <c r="D6" s="209"/>
      <c r="E6" s="223"/>
      <c r="F6" s="224"/>
    </row>
    <row r="7" spans="1:6" ht="25.5" customHeight="1" x14ac:dyDescent="0.5">
      <c r="A7" s="109" t="str">
        <f>IF('ALAKART DİKEY (2)'!A6="","",'ALAKART DİKEY (2)'!A6)</f>
        <v>EZOGELİN ÇORBASI</v>
      </c>
      <c r="B7" s="125">
        <f>IF('ALAKART DİKEY (2)'!B6="", "", 'ALAKART DİKEY (2)'!B6)</f>
        <v>18.420000000000002</v>
      </c>
      <c r="C7" s="11"/>
      <c r="D7" s="8"/>
      <c r="E7" s="6" t="str">
        <f>'ALAKART DİKEY (2)'!E6</f>
        <v>ROL EKMEK</v>
      </c>
      <c r="F7" s="101">
        <f>'ALAKART DİKEY (2)'!F6</f>
        <v>3.59</v>
      </c>
    </row>
    <row r="8" spans="1:6" ht="24.75" customHeight="1" x14ac:dyDescent="0.5">
      <c r="A8" s="127" t="str">
        <f>IF('ALAKART DİKEY (2)'!A7="","",'ALAKART DİKEY (2)'!A7)</f>
        <v/>
      </c>
      <c r="B8" s="125" t="str">
        <f>IF('ALAKART DİKEY (2)'!B7="", "", 'ALAKART DİKEY (2)'!B7)</f>
        <v/>
      </c>
      <c r="C8" s="11"/>
      <c r="D8" s="8"/>
      <c r="E8" s="6" t="str">
        <f>'ALAKART DİKEY (2)'!E7</f>
        <v/>
      </c>
      <c r="F8" s="101" t="str">
        <f>'ALAKART DİKEY (2)'!F7</f>
        <v/>
      </c>
    </row>
    <row r="9" spans="1:6" ht="27" x14ac:dyDescent="0.5">
      <c r="A9" s="127" t="str">
        <f>IF('ALAKART DİKEY (2)'!A8="","",'ALAKART DİKEY (2)'!A8)</f>
        <v/>
      </c>
      <c r="B9" s="125" t="str">
        <f>IF('ALAKART DİKEY (2)'!B8="", "", 'ALAKART DİKEY (2)'!B8)</f>
        <v/>
      </c>
      <c r="C9" s="11"/>
      <c r="D9" s="8"/>
      <c r="E9" s="6" t="str">
        <f>'ALAKART DİKEY (2)'!E8</f>
        <v/>
      </c>
      <c r="F9" s="101" t="str">
        <f>'ALAKART DİKEY (2)'!F8</f>
        <v/>
      </c>
    </row>
    <row r="10" spans="1:6" ht="24.75" customHeight="1" x14ac:dyDescent="0.5">
      <c r="A10" s="127" t="str">
        <f>IF('ALAKART DİKEY (2)'!A9="","",'ALAKART DİKEY (2)'!A9)</f>
        <v/>
      </c>
      <c r="B10" s="125" t="str">
        <f>IF('ALAKART DİKEY (2)'!B9="", "", 'ALAKART DİKEY (2)'!B9)</f>
        <v/>
      </c>
      <c r="C10" s="11"/>
      <c r="D10" s="8"/>
      <c r="E10" s="207" t="s">
        <v>1</v>
      </c>
      <c r="F10" s="210"/>
    </row>
    <row r="11" spans="1:6" ht="15" customHeight="1" x14ac:dyDescent="0.25">
      <c r="A11" s="206" t="s">
        <v>5</v>
      </c>
      <c r="B11" s="207"/>
      <c r="C11" s="11"/>
      <c r="D11" s="8"/>
      <c r="E11" s="207"/>
      <c r="F11" s="210"/>
    </row>
    <row r="12" spans="1:6" ht="24.75" customHeight="1" x14ac:dyDescent="0.25">
      <c r="A12" s="206"/>
      <c r="B12" s="207"/>
      <c r="C12" s="11"/>
      <c r="D12" s="8"/>
      <c r="E12" s="16" t="str">
        <f>'ALAKART DİKEY (2)'!E11</f>
        <v>AYRAN 300 GR</v>
      </c>
      <c r="F12" s="99">
        <f>'ALAKART DİKEY (2)'!F11</f>
        <v>10.26</v>
      </c>
    </row>
    <row r="13" spans="1:6" ht="24.75" customHeight="1" x14ac:dyDescent="0.5">
      <c r="A13" s="109" t="str">
        <f>IF('ALAKART DİKEY (2)'!A12="", "",'ALAKART DİKEY (2)'!A12)</f>
        <v>BAMYA YEMEĞİ</v>
      </c>
      <c r="B13" s="28">
        <f>IF('ALAKART DİKEY (2)'!B12="", "", 'ALAKART DİKEY (2)'!B12)</f>
        <v>68.650000000000006</v>
      </c>
      <c r="C13" s="11"/>
      <c r="D13" s="8"/>
      <c r="E13" s="16" t="str">
        <f>'ALAKART DİKEY (2)'!E12</f>
        <v>FANTA KUTU</v>
      </c>
      <c r="F13" s="99">
        <f>'ALAKART DİKEY (2)'!F12</f>
        <v>22.9</v>
      </c>
    </row>
    <row r="14" spans="1:6" ht="24.75" customHeight="1" x14ac:dyDescent="0.5">
      <c r="A14" s="109" t="str">
        <f>IF('ALAKART DİKEY (2)'!A13="", "",'ALAKART DİKEY (2)'!A13)</f>
        <v>TAVUK BUT ROTİ</v>
      </c>
      <c r="B14" s="28">
        <f>IF('ALAKART DİKEY (2)'!B13="", "", 'ALAKART DİKEY (2)'!B13)</f>
        <v>62.29</v>
      </c>
      <c r="C14" s="11"/>
      <c r="D14" s="8"/>
      <c r="E14" s="16" t="str">
        <f>'ALAKART DİKEY (2)'!E13</f>
        <v>GAZOZ KUTU</v>
      </c>
      <c r="F14" s="99">
        <f>'ALAKART DİKEY (2)'!F13</f>
        <v>22.9</v>
      </c>
    </row>
    <row r="15" spans="1:6" ht="31.5" customHeight="1" x14ac:dyDescent="0.5">
      <c r="A15" s="109" t="str">
        <f>IF('ALAKART DİKEY (2)'!A14="", "",'ALAKART DİKEY (2)'!A14)</f>
        <v>HASANPAŞA KÖFTE</v>
      </c>
      <c r="B15" s="28">
        <f>IF('ALAKART DİKEY (2)'!B14="", "", 'ALAKART DİKEY (2)'!B14)</f>
        <v>172.56</v>
      </c>
      <c r="C15" s="11"/>
      <c r="D15" s="8"/>
      <c r="E15" s="16" t="str">
        <f>'ALAKART DİKEY (2)'!E14</f>
        <v>KOLA KUTU</v>
      </c>
      <c r="F15" s="99">
        <f>'ALAKART DİKEY (2)'!F14</f>
        <v>22.9</v>
      </c>
    </row>
    <row r="16" spans="1:6" ht="27" x14ac:dyDescent="0.5">
      <c r="A16" s="109" t="str">
        <f>IF('ALAKART DİKEY (2)'!A15="", "",'ALAKART DİKEY (2)'!A15)</f>
        <v/>
      </c>
      <c r="B16" s="28" t="str">
        <f>IF('ALAKART DİKEY (2)'!B15="", "", 'ALAKART DİKEY (2)'!B15)</f>
        <v/>
      </c>
      <c r="C16" s="11"/>
      <c r="D16" s="8"/>
      <c r="E16" s="16" t="str">
        <f>'ALAKART DİKEY (2)'!E15</f>
        <v>KOLA KUTU ZERO</v>
      </c>
      <c r="F16" s="99">
        <f>'ALAKART DİKEY (2)'!F15</f>
        <v>22.9</v>
      </c>
    </row>
    <row r="17" spans="1:15" ht="24.75" customHeight="1" x14ac:dyDescent="0.5">
      <c r="A17" s="109" t="str">
        <f>IF('ALAKART DİKEY (2)'!A16="", "",'ALAKART DİKEY (2)'!A16)</f>
        <v/>
      </c>
      <c r="B17" s="28" t="str">
        <f>IF('ALAKART DİKEY (2)'!B16="", "", 'ALAKART DİKEY (2)'!B16)</f>
        <v/>
      </c>
      <c r="C17" s="11"/>
      <c r="D17" s="8"/>
      <c r="E17" s="16" t="str">
        <f>'ALAKART DİKEY (2)'!E16</f>
        <v>MEYVE SUYU KUTU</v>
      </c>
      <c r="F17" s="99">
        <f>'ALAKART DİKEY (2)'!F16</f>
        <v>30.47</v>
      </c>
    </row>
    <row r="18" spans="1:15" ht="24.75" customHeight="1" x14ac:dyDescent="0.25">
      <c r="A18" s="206" t="s">
        <v>3</v>
      </c>
      <c r="B18" s="207"/>
      <c r="C18" s="11"/>
      <c r="D18" s="8"/>
      <c r="E18" s="16" t="str">
        <f>'ALAKART DİKEY (2)'!E17</f>
        <v>SODA MEYVELİ</v>
      </c>
      <c r="F18" s="99">
        <f>'ALAKART DİKEY (2)'!F17</f>
        <v>10.95</v>
      </c>
    </row>
    <row r="19" spans="1:15" ht="24.75" customHeight="1" x14ac:dyDescent="0.25">
      <c r="A19" s="206"/>
      <c r="B19" s="207"/>
      <c r="C19" s="11"/>
      <c r="D19" s="8"/>
      <c r="E19" s="16" t="str">
        <f>'ALAKART DİKEY (2)'!E18</f>
        <v>SODA SADE</v>
      </c>
      <c r="F19" s="99">
        <f>'ALAKART DİKEY (2)'!F18</f>
        <v>8.36</v>
      </c>
    </row>
    <row r="20" spans="1:15" ht="24.75" customHeight="1" x14ac:dyDescent="0.5">
      <c r="A20" s="10" t="str">
        <f>IF('ALAKART DİKEY (2)'!A19="", "", 'ALAKART DİKEY (2)'!A19)</f>
        <v>TEL ŞEHRİYELİ PİRİNÇ PİLAVI</v>
      </c>
      <c r="B20" s="29">
        <f>IF('ALAKART DİKEY (2)'!B19="", "", 'ALAKART DİKEY (2)'!B19)</f>
        <v>15.53</v>
      </c>
      <c r="C20" s="11"/>
      <c r="D20" s="8"/>
      <c r="E20" s="16" t="str">
        <f>'ALAKART DİKEY (2)'!E19</f>
        <v>SOĞUK ÇAY KUTU</v>
      </c>
      <c r="F20" s="99">
        <f>'ALAKART DİKEY (2)'!F19</f>
        <v>30.47</v>
      </c>
    </row>
    <row r="21" spans="1:15" ht="24.75" customHeight="1" x14ac:dyDescent="0.5">
      <c r="A21" s="10" t="str">
        <f>IF('ALAKART DİKEY (2)'!A20="", "", 'ALAKART DİKEY (2)'!A20)</f>
        <v/>
      </c>
      <c r="B21" s="29" t="str">
        <f>IF('ALAKART DİKEY (2)'!B20="", "", 'ALAKART DİKEY (2)'!B20)</f>
        <v/>
      </c>
      <c r="C21" s="11"/>
      <c r="D21" s="8"/>
      <c r="E21" s="16" t="str">
        <f>'ALAKART DİKEY (2)'!E20</f>
        <v>ŞALGAM</v>
      </c>
      <c r="F21" s="99">
        <f>'ALAKART DİKEY (2)'!F20</f>
        <v>14.28</v>
      </c>
    </row>
    <row r="22" spans="1:15" ht="24.75" x14ac:dyDescent="0.5">
      <c r="A22" s="10" t="str">
        <f>IF('ALAKART DİKEY (2)'!A21="", "", 'ALAKART DİKEY (2)'!A21)</f>
        <v/>
      </c>
      <c r="B22" s="29" t="str">
        <f>IF('ALAKART DİKEY (2)'!B21="", "", 'ALAKART DİKEY (2)'!B21)</f>
        <v/>
      </c>
      <c r="C22" s="11"/>
      <c r="D22" s="8"/>
      <c r="E22" s="16" t="str">
        <f>'ALAKART DİKEY (2)'!E21</f>
        <v>SU 0,5 LT</v>
      </c>
      <c r="F22" s="99">
        <f>'ALAKART DİKEY (2)'!F21</f>
        <v>4.13</v>
      </c>
    </row>
    <row r="23" spans="1:15" ht="24.75" customHeight="1" x14ac:dyDescent="0.5">
      <c r="A23" s="10" t="str">
        <f>IF('ALAKART DİKEY (2)'!A22="", "", 'ALAKART DİKEY (2)'!A22)</f>
        <v/>
      </c>
      <c r="B23" s="29" t="str">
        <f>IF('ALAKART DİKEY (2)'!B22="", "", 'ALAKART DİKEY (2)'!B22)</f>
        <v/>
      </c>
      <c r="C23" s="11"/>
      <c r="D23" s="8"/>
      <c r="E23" s="16" t="str">
        <f>'ALAKART DİKEY (2)'!E22</f>
        <v/>
      </c>
      <c r="F23" s="99" t="str">
        <f>'ALAKART DİKEY (2)'!F22</f>
        <v/>
      </c>
    </row>
    <row r="24" spans="1:15" ht="24.75" customHeight="1" x14ac:dyDescent="0.25">
      <c r="A24" s="206" t="s">
        <v>22</v>
      </c>
      <c r="B24" s="207"/>
      <c r="C24" s="11"/>
      <c r="D24" s="8"/>
      <c r="E24" s="16" t="str">
        <f>'ALAKART DİKEY (2)'!E23</f>
        <v/>
      </c>
      <c r="F24" s="99" t="str">
        <f>'ALAKART DİKEY (2)'!F23</f>
        <v/>
      </c>
    </row>
    <row r="25" spans="1:15" ht="24.75" customHeight="1" x14ac:dyDescent="0.5">
      <c r="A25" s="206"/>
      <c r="B25" s="207"/>
      <c r="C25" s="11"/>
      <c r="D25" s="8"/>
      <c r="E25" s="6"/>
      <c r="F25" s="23"/>
    </row>
    <row r="26" spans="1:15" ht="24.75" customHeight="1" x14ac:dyDescent="0.5">
      <c r="A26" s="5" t="str">
        <f>IF('ALAKART DİKEY (2)'!A25="", "", 'ALAKART DİKEY (2)'!A25)</f>
        <v>MEVSİM SALATA</v>
      </c>
      <c r="B26" s="105">
        <f>IF('ALAKART DİKEY (2)'!B25="", "", 'ALAKART DİKEY (2)'!B25)</f>
        <v>29.05</v>
      </c>
      <c r="C26" s="11"/>
      <c r="D26" s="8"/>
      <c r="E26" s="7"/>
      <c r="F26" s="23"/>
    </row>
    <row r="27" spans="1:15" ht="26.25" customHeight="1" x14ac:dyDescent="0.5">
      <c r="A27" s="5" t="str">
        <f>IF('ALAKART DİKEY (2)'!A26="", "", 'ALAKART DİKEY (2)'!A26)</f>
        <v/>
      </c>
      <c r="B27" s="105" t="str">
        <f>IF('ALAKART DİKEY (2)'!B26="", "", 'ALAKART DİKEY (2)'!B26)</f>
        <v/>
      </c>
      <c r="C27" s="11"/>
      <c r="D27" s="8"/>
      <c r="E27" s="207" t="s">
        <v>9</v>
      </c>
      <c r="F27" s="210"/>
      <c r="O27" s="95"/>
    </row>
    <row r="28" spans="1:15" ht="24.75" customHeight="1" x14ac:dyDescent="0.5">
      <c r="A28" s="5" t="str">
        <f>IF('ALAKART DİKEY (2)'!A27="", "", 'ALAKART DİKEY (2)'!A27)</f>
        <v/>
      </c>
      <c r="B28" s="105" t="str">
        <f>IF('ALAKART DİKEY (2)'!B27="", "", 'ALAKART DİKEY (2)'!B27)</f>
        <v/>
      </c>
      <c r="C28" s="11"/>
      <c r="D28" s="8"/>
      <c r="E28" s="207"/>
      <c r="F28" s="210"/>
    </row>
    <row r="29" spans="1:15" ht="15" customHeight="1" x14ac:dyDescent="0.25">
      <c r="A29" s="208" t="s">
        <v>26</v>
      </c>
      <c r="B29" s="209"/>
      <c r="C29" s="11"/>
      <c r="D29" s="8"/>
      <c r="E29" s="217" t="str">
        <f>'ALAKART DİKEY (2)'!E29:E30</f>
        <v>KARPUZ</v>
      </c>
      <c r="F29" s="218">
        <f>IF('ALAKART DİKEY (2)'!F29:F30="", "", 'ALAKART DİKEY (2)'!F29:F30)</f>
        <v>24.02</v>
      </c>
    </row>
    <row r="30" spans="1:15" ht="15" customHeight="1" x14ac:dyDescent="0.25">
      <c r="A30" s="208"/>
      <c r="B30" s="209"/>
      <c r="C30" s="11"/>
      <c r="D30" s="8"/>
      <c r="E30" s="217"/>
      <c r="F30" s="218"/>
    </row>
    <row r="31" spans="1:15" ht="24.75" customHeight="1" x14ac:dyDescent="0.5">
      <c r="A31" s="5" t="str">
        <f>IF('ALAKART DİKEY (2)'!A30="", "", 'ALAKART DİKEY (2)'!A30)</f>
        <v>CACIK</v>
      </c>
      <c r="B31" s="31">
        <f>IF('ALAKART DİKEY (2)'!B30="", "", 'ALAKART DİKEY (2)'!B30)</f>
        <v>19.72</v>
      </c>
      <c r="C31" s="11"/>
      <c r="D31" s="8"/>
      <c r="E31" s="16" t="str">
        <f>'ALAKART DİKEY (2)'!E31</f>
        <v>TRİLİÇE</v>
      </c>
      <c r="F31" s="105">
        <f>IF('ALAKART DİKEY (2)'!F31="", "", 'ALAKART DİKEY (2)'!F31)</f>
        <v>34.090000000000003</v>
      </c>
      <c r="G31" s="106"/>
    </row>
    <row r="32" spans="1:15" ht="24.75" x14ac:dyDescent="0.5">
      <c r="A32" s="5" t="str">
        <f>IF('ALAKART DİKEY (2)'!A31="", "", 'ALAKART DİKEY (2)'!A31)</f>
        <v>HAVUÇ TARATOR</v>
      </c>
      <c r="B32" s="31">
        <f>IF('ALAKART DİKEY (2)'!B31="", "", 'ALAKART DİKEY (2)'!B31)</f>
        <v>25.25</v>
      </c>
      <c r="C32" s="11"/>
      <c r="D32" s="8"/>
      <c r="E32" s="16" t="str">
        <f>'ALAKART DİKEY (2)'!E32</f>
        <v/>
      </c>
      <c r="F32" s="105" t="str">
        <f>IF('ALAKART DİKEY (2)'!F32="", "", 'ALAKART DİKEY (2)'!F32)</f>
        <v/>
      </c>
      <c r="G32" s="106"/>
    </row>
    <row r="33" spans="1:16" ht="24.75" x14ac:dyDescent="0.5">
      <c r="A33" s="5" t="str">
        <f>IF('ALAKART DİKEY (2)'!A32="", "", 'ALAKART DİKEY (2)'!A32)</f>
        <v>HAYDARİ</v>
      </c>
      <c r="B33" s="31">
        <f>IF('ALAKART DİKEY (2)'!B32="", "", 'ALAKART DİKEY (2)'!B32)</f>
        <v>25.46</v>
      </c>
      <c r="C33" s="11"/>
      <c r="D33" s="8"/>
      <c r="E33" s="126" t="str">
        <f>'ALAKART DİKEY (2)'!E33</f>
        <v/>
      </c>
      <c r="F33" s="128" t="str">
        <f>IF('ALAKART DİKEY (2)'!F33="", "", 'ALAKART DİKEY (2)'!F33)</f>
        <v/>
      </c>
      <c r="G33" s="106"/>
    </row>
    <row r="34" spans="1:16" ht="24.75" customHeight="1" x14ac:dyDescent="0.5">
      <c r="A34" s="5" t="str">
        <f>IF('ALAKART DİKEY (2)'!A33="", "", 'ALAKART DİKEY (2)'!A33)</f>
        <v>PANCAR TURŞUSU</v>
      </c>
      <c r="B34" s="31">
        <f>IF('ALAKART DİKEY (2)'!B33="", "", 'ALAKART DİKEY (2)'!B33)</f>
        <v>41.75</v>
      </c>
      <c r="C34" s="11"/>
      <c r="D34" s="8"/>
      <c r="E34" s="221"/>
      <c r="F34" s="222"/>
      <c r="G34" s="106"/>
    </row>
    <row r="35" spans="1:16" ht="33.75" x14ac:dyDescent="0.5">
      <c r="A35" s="5" t="str">
        <f>IF('ALAKART DİKEY (2)'!A34="", "", 'ALAKART DİKEY (2)'!A34)</f>
        <v>PEMBE SULTAN</v>
      </c>
      <c r="B35" s="31">
        <f>IF('ALAKART DİKEY (2)'!B34="", "", 'ALAKART DİKEY (2)'!B34)</f>
        <v>15.57</v>
      </c>
      <c r="C35" s="11" t="s">
        <v>25</v>
      </c>
      <c r="D35" s="43"/>
      <c r="E35" s="207" t="s">
        <v>35</v>
      </c>
      <c r="F35" s="210"/>
    </row>
    <row r="36" spans="1:16" ht="24.75" x14ac:dyDescent="0.5">
      <c r="A36" s="5" t="str">
        <f>IF('ALAKART DİKEY (2)'!A35="", "", 'ALAKART DİKEY (2)'!A35)</f>
        <v>RUS SALATA</v>
      </c>
      <c r="B36" s="31">
        <f>IF('ALAKART DİKEY (2)'!B35="", "", 'ALAKART DİKEY (2)'!B35)</f>
        <v>21.1</v>
      </c>
      <c r="C36" s="11"/>
      <c r="D36" s="8"/>
      <c r="E36" s="14" t="str">
        <f>'ALAKART DİKEY (2)'!E35</f>
        <v xml:space="preserve">ADANA KEBAP </v>
      </c>
      <c r="F36" s="92">
        <f>'ALAKART DİKEY (2)'!F35</f>
        <v>222.37</v>
      </c>
      <c r="N36" s="7"/>
    </row>
    <row r="37" spans="1:16" ht="24.75" customHeight="1" x14ac:dyDescent="0.5">
      <c r="A37" s="5" t="str">
        <f>IF('ALAKART DİKEY (2)'!A36="", "", 'ALAKART DİKEY (2)'!A36)</f>
        <v>KÖZLENMİŞ BİBER</v>
      </c>
      <c r="B37" s="31">
        <f>IF('ALAKART DİKEY (2)'!B36="", "", 'ALAKART DİKEY (2)'!B36)</f>
        <v>17.29</v>
      </c>
      <c r="C37" s="11"/>
      <c r="D37" s="43"/>
      <c r="E37" s="14" t="str">
        <f>'ALAKART DİKEY (2)'!E36</f>
        <v xml:space="preserve">TAVUK ŞİŞ </v>
      </c>
      <c r="F37" s="92">
        <f>'ALAKART DİKEY (2)'!F36</f>
        <v>108.73</v>
      </c>
    </row>
    <row r="38" spans="1:16" ht="24.75" x14ac:dyDescent="0.5">
      <c r="A38" s="5" t="str">
        <f>IF('ALAKART DİKEY (2)'!A37="", "", 'ALAKART DİKEY (2)'!A37)</f>
        <v>YOĞURTLU MANTAR</v>
      </c>
      <c r="B38" s="31">
        <f>IF('ALAKART DİKEY (2)'!B37="", "", 'ALAKART DİKEY (2)'!B37)</f>
        <v>42.68</v>
      </c>
      <c r="C38" s="41"/>
      <c r="D38" s="43"/>
      <c r="E38" s="14" t="str">
        <f>'ALAKART DİKEY (2)'!E37</f>
        <v xml:space="preserve">KUZU ŞİŞ </v>
      </c>
      <c r="F38" s="92">
        <f>'ALAKART DİKEY (2)'!F37</f>
        <v>328.95</v>
      </c>
    </row>
    <row r="39" spans="1:16" ht="24.75" x14ac:dyDescent="0.5">
      <c r="A39" s="5" t="str">
        <f>IF('ALAKART DİKEY (2)'!A38="", "", 'ALAKART DİKEY (2)'!A38)</f>
        <v>PATLICAN MENÇE</v>
      </c>
      <c r="B39" s="31">
        <f>IF('ALAKART DİKEY (2)'!B38="", "", 'ALAKART DİKEY (2)'!B38)</f>
        <v>42.9</v>
      </c>
      <c r="C39" s="41" t="s">
        <v>25</v>
      </c>
      <c r="D39" s="43"/>
      <c r="E39" s="14" t="str">
        <f>'ALAKART DİKEY (2)'!E38</f>
        <v xml:space="preserve">TAVUK KANAT </v>
      </c>
      <c r="F39" s="92">
        <f>'ALAKART DİKEY (2)'!F38</f>
        <v>115.24</v>
      </c>
    </row>
    <row r="40" spans="1:16" ht="24.75" customHeight="1" x14ac:dyDescent="0.5">
      <c r="A40" s="5" t="str">
        <f>IF('ALAKART DİKEY (2)'!A39="", "", 'ALAKART DİKEY (2)'!A39)</f>
        <v>Z.Y. BROKOLİ</v>
      </c>
      <c r="B40" s="31">
        <f>IF('ALAKART DİKEY (2)'!B39="", "", 'ALAKART DİKEY (2)'!B39)</f>
        <v>55.65</v>
      </c>
      <c r="C40" s="41"/>
      <c r="D40" s="43"/>
      <c r="E40" s="219" t="s">
        <v>39</v>
      </c>
      <c r="F40" s="220"/>
    </row>
    <row r="41" spans="1:16" ht="24.75" x14ac:dyDescent="0.5">
      <c r="A41" s="5" t="str">
        <f>IF('ALAKART DİKEY (2)'!A40="", "", 'ALAKART DİKEY (2)'!A40)</f>
        <v>Z.Y. BRÜKSEL LAHANA</v>
      </c>
      <c r="B41" s="31">
        <f>IF('ALAKART DİKEY (2)'!B40="", "", 'ALAKART DİKEY (2)'!B40)</f>
        <v>56.38</v>
      </c>
      <c r="C41" s="41"/>
      <c r="D41" s="43"/>
      <c r="E41" s="219"/>
      <c r="F41" s="220"/>
    </row>
    <row r="42" spans="1:16" ht="24.75" x14ac:dyDescent="0.5">
      <c r="A42" s="5" t="str">
        <f>IF('ALAKART DİKEY (2)'!A41="", "", 'ALAKART DİKEY (2)'!A41)</f>
        <v/>
      </c>
      <c r="B42" s="31" t="str">
        <f>IF('ALAKART DİKEY (2)'!B41="", "", 'ALAKART DİKEY (2)'!B41)</f>
        <v/>
      </c>
      <c r="C42" s="41"/>
      <c r="D42" s="43"/>
      <c r="E42" s="45"/>
      <c r="F42" s="48"/>
      <c r="P42" s="94"/>
    </row>
    <row r="43" spans="1:16" ht="24.75" x14ac:dyDescent="0.5">
      <c r="A43" s="5" t="str">
        <f>IF('ALAKART DİKEY (2)'!A45="", "", 'ALAKART DİKEY (2)'!A45)</f>
        <v/>
      </c>
      <c r="B43" s="31" t="str">
        <f>IF('ALAKART DİKEY (2)'!B45="", "", 'ALAKART DİKEY (2)'!B45)</f>
        <v/>
      </c>
      <c r="C43" s="41"/>
      <c r="D43" s="43"/>
      <c r="E43" s="45"/>
      <c r="F43" s="48"/>
    </row>
    <row r="44" spans="1:16" ht="25.5" thickBot="1" x14ac:dyDescent="0.55000000000000004">
      <c r="A44" s="39"/>
      <c r="B44" s="40"/>
      <c r="C44" s="42"/>
      <c r="D44" s="44"/>
      <c r="E44" s="46"/>
      <c r="F44" s="49"/>
    </row>
  </sheetData>
  <mergeCells count="17">
    <mergeCell ref="E10:F11"/>
    <mergeCell ref="A1:F2"/>
    <mergeCell ref="A3:B4"/>
    <mergeCell ref="C3:D3"/>
    <mergeCell ref="E3:F4"/>
    <mergeCell ref="E5:F6"/>
    <mergeCell ref="A5:D6"/>
    <mergeCell ref="A11:B12"/>
    <mergeCell ref="E40:F41"/>
    <mergeCell ref="E35:F35"/>
    <mergeCell ref="E34:F34"/>
    <mergeCell ref="A18:B19"/>
    <mergeCell ref="A24:B25"/>
    <mergeCell ref="E27:F28"/>
    <mergeCell ref="A29:B30"/>
    <mergeCell ref="E29:E30"/>
    <mergeCell ref="F29:F30"/>
  </mergeCells>
  <pageMargins left="0.7" right="0.7" top="0.75" bottom="0.75" header="0.3" footer="0.3"/>
  <pageSetup paperSize="9" scale="44"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36"/>
  <sheetViews>
    <sheetView view="pageBreakPreview" zoomScale="70" zoomScaleNormal="70" zoomScaleSheetLayoutView="70" workbookViewId="0">
      <selection activeCell="B5" sqref="B5:B6"/>
    </sheetView>
  </sheetViews>
  <sheetFormatPr defaultRowHeight="18.75" x14ac:dyDescent="0.25"/>
  <cols>
    <col min="1" max="2" width="81.42578125" style="1" customWidth="1"/>
    <col min="3" max="3" width="19.85546875" style="1" customWidth="1"/>
    <col min="4" max="4" width="2.5703125" style="1" customWidth="1"/>
    <col min="5" max="5" width="43.140625" style="1" customWidth="1"/>
    <col min="6" max="6" width="2.42578125" style="1" customWidth="1"/>
    <col min="7" max="248" width="9.140625" style="1"/>
    <col min="249" max="249" width="2.28515625" style="1" customWidth="1"/>
    <col min="250" max="250" width="44.7109375" style="1" customWidth="1"/>
    <col min="251" max="251" width="0" style="1" hidden="1" customWidth="1"/>
    <col min="252" max="252" width="4.28515625" style="1" customWidth="1"/>
    <col min="253" max="253" width="40.42578125" style="1" customWidth="1"/>
    <col min="254" max="254" width="4.28515625" style="1" customWidth="1"/>
    <col min="255" max="255" width="38" style="1" customWidth="1"/>
    <col min="256" max="256" width="2.42578125" style="1" customWidth="1"/>
    <col min="257" max="504" width="9.140625" style="1"/>
    <col min="505" max="505" width="2.28515625" style="1" customWidth="1"/>
    <col min="506" max="506" width="44.7109375" style="1" customWidth="1"/>
    <col min="507" max="507" width="0" style="1" hidden="1" customWidth="1"/>
    <col min="508" max="508" width="4.28515625" style="1" customWidth="1"/>
    <col min="509" max="509" width="40.42578125" style="1" customWidth="1"/>
    <col min="510" max="510" width="4.28515625" style="1" customWidth="1"/>
    <col min="511" max="511" width="38" style="1" customWidth="1"/>
    <col min="512" max="512" width="2.42578125" style="1" customWidth="1"/>
    <col min="513" max="760" width="9.140625" style="1"/>
    <col min="761" max="761" width="2.28515625" style="1" customWidth="1"/>
    <col min="762" max="762" width="44.7109375" style="1" customWidth="1"/>
    <col min="763" max="763" width="0" style="1" hidden="1" customWidth="1"/>
    <col min="764" max="764" width="4.28515625" style="1" customWidth="1"/>
    <col min="765" max="765" width="40.42578125" style="1" customWidth="1"/>
    <col min="766" max="766" width="4.28515625" style="1" customWidth="1"/>
    <col min="767" max="767" width="38" style="1" customWidth="1"/>
    <col min="768" max="768" width="2.42578125" style="1" customWidth="1"/>
    <col min="769" max="1016" width="9.140625" style="1"/>
    <col min="1017" max="1017" width="2.28515625" style="1" customWidth="1"/>
    <col min="1018" max="1018" width="44.7109375" style="1" customWidth="1"/>
    <col min="1019" max="1019" width="0" style="1" hidden="1" customWidth="1"/>
    <col min="1020" max="1020" width="4.28515625" style="1" customWidth="1"/>
    <col min="1021" max="1021" width="40.42578125" style="1" customWidth="1"/>
    <col min="1022" max="1022" width="4.28515625" style="1" customWidth="1"/>
    <col min="1023" max="1023" width="38" style="1" customWidth="1"/>
    <col min="1024" max="1024" width="2.42578125" style="1" customWidth="1"/>
    <col min="1025" max="1272" width="9.140625" style="1"/>
    <col min="1273" max="1273" width="2.28515625" style="1" customWidth="1"/>
    <col min="1274" max="1274" width="44.7109375" style="1" customWidth="1"/>
    <col min="1275" max="1275" width="0" style="1" hidden="1" customWidth="1"/>
    <col min="1276" max="1276" width="4.28515625" style="1" customWidth="1"/>
    <col min="1277" max="1277" width="40.42578125" style="1" customWidth="1"/>
    <col min="1278" max="1278" width="4.28515625" style="1" customWidth="1"/>
    <col min="1279" max="1279" width="38" style="1" customWidth="1"/>
    <col min="1280" max="1280" width="2.42578125" style="1" customWidth="1"/>
    <col min="1281" max="1528" width="9.140625" style="1"/>
    <col min="1529" max="1529" width="2.28515625" style="1" customWidth="1"/>
    <col min="1530" max="1530" width="44.7109375" style="1" customWidth="1"/>
    <col min="1531" max="1531" width="0" style="1" hidden="1" customWidth="1"/>
    <col min="1532" max="1532" width="4.28515625" style="1" customWidth="1"/>
    <col min="1533" max="1533" width="40.42578125" style="1" customWidth="1"/>
    <col min="1534" max="1534" width="4.28515625" style="1" customWidth="1"/>
    <col min="1535" max="1535" width="38" style="1" customWidth="1"/>
    <col min="1536" max="1536" width="2.42578125" style="1" customWidth="1"/>
    <col min="1537" max="1784" width="9.140625" style="1"/>
    <col min="1785" max="1785" width="2.28515625" style="1" customWidth="1"/>
    <col min="1786" max="1786" width="44.7109375" style="1" customWidth="1"/>
    <col min="1787" max="1787" width="0" style="1" hidden="1" customWidth="1"/>
    <col min="1788" max="1788" width="4.28515625" style="1" customWidth="1"/>
    <col min="1789" max="1789" width="40.42578125" style="1" customWidth="1"/>
    <col min="1790" max="1790" width="4.28515625" style="1" customWidth="1"/>
    <col min="1791" max="1791" width="38" style="1" customWidth="1"/>
    <col min="1792" max="1792" width="2.42578125" style="1" customWidth="1"/>
    <col min="1793" max="2040" width="9.140625" style="1"/>
    <col min="2041" max="2041" width="2.28515625" style="1" customWidth="1"/>
    <col min="2042" max="2042" width="44.7109375" style="1" customWidth="1"/>
    <col min="2043" max="2043" width="0" style="1" hidden="1" customWidth="1"/>
    <col min="2044" max="2044" width="4.28515625" style="1" customWidth="1"/>
    <col min="2045" max="2045" width="40.42578125" style="1" customWidth="1"/>
    <col min="2046" max="2046" width="4.28515625" style="1" customWidth="1"/>
    <col min="2047" max="2047" width="38" style="1" customWidth="1"/>
    <col min="2048" max="2048" width="2.42578125" style="1" customWidth="1"/>
    <col min="2049" max="2296" width="9.140625" style="1"/>
    <col min="2297" max="2297" width="2.28515625" style="1" customWidth="1"/>
    <col min="2298" max="2298" width="44.7109375" style="1" customWidth="1"/>
    <col min="2299" max="2299" width="0" style="1" hidden="1" customWidth="1"/>
    <col min="2300" max="2300" width="4.28515625" style="1" customWidth="1"/>
    <col min="2301" max="2301" width="40.42578125" style="1" customWidth="1"/>
    <col min="2302" max="2302" width="4.28515625" style="1" customWidth="1"/>
    <col min="2303" max="2303" width="38" style="1" customWidth="1"/>
    <col min="2304" max="2304" width="2.42578125" style="1" customWidth="1"/>
    <col min="2305" max="2552" width="9.140625" style="1"/>
    <col min="2553" max="2553" width="2.28515625" style="1" customWidth="1"/>
    <col min="2554" max="2554" width="44.7109375" style="1" customWidth="1"/>
    <col min="2555" max="2555" width="0" style="1" hidden="1" customWidth="1"/>
    <col min="2556" max="2556" width="4.28515625" style="1" customWidth="1"/>
    <col min="2557" max="2557" width="40.42578125" style="1" customWidth="1"/>
    <col min="2558" max="2558" width="4.28515625" style="1" customWidth="1"/>
    <col min="2559" max="2559" width="38" style="1" customWidth="1"/>
    <col min="2560" max="2560" width="2.42578125" style="1" customWidth="1"/>
    <col min="2561" max="2808" width="9.140625" style="1"/>
    <col min="2809" max="2809" width="2.28515625" style="1" customWidth="1"/>
    <col min="2810" max="2810" width="44.7109375" style="1" customWidth="1"/>
    <col min="2811" max="2811" width="0" style="1" hidden="1" customWidth="1"/>
    <col min="2812" max="2812" width="4.28515625" style="1" customWidth="1"/>
    <col min="2813" max="2813" width="40.42578125" style="1" customWidth="1"/>
    <col min="2814" max="2814" width="4.28515625" style="1" customWidth="1"/>
    <col min="2815" max="2815" width="38" style="1" customWidth="1"/>
    <col min="2816" max="2816" width="2.42578125" style="1" customWidth="1"/>
    <col min="2817" max="3064" width="9.140625" style="1"/>
    <col min="3065" max="3065" width="2.28515625" style="1" customWidth="1"/>
    <col min="3066" max="3066" width="44.7109375" style="1" customWidth="1"/>
    <col min="3067" max="3067" width="0" style="1" hidden="1" customWidth="1"/>
    <col min="3068" max="3068" width="4.28515625" style="1" customWidth="1"/>
    <col min="3069" max="3069" width="40.42578125" style="1" customWidth="1"/>
    <col min="3070" max="3070" width="4.28515625" style="1" customWidth="1"/>
    <col min="3071" max="3071" width="38" style="1" customWidth="1"/>
    <col min="3072" max="3072" width="2.42578125" style="1" customWidth="1"/>
    <col min="3073" max="3320" width="9.140625" style="1"/>
    <col min="3321" max="3321" width="2.28515625" style="1" customWidth="1"/>
    <col min="3322" max="3322" width="44.7109375" style="1" customWidth="1"/>
    <col min="3323" max="3323" width="0" style="1" hidden="1" customWidth="1"/>
    <col min="3324" max="3324" width="4.28515625" style="1" customWidth="1"/>
    <col min="3325" max="3325" width="40.42578125" style="1" customWidth="1"/>
    <col min="3326" max="3326" width="4.28515625" style="1" customWidth="1"/>
    <col min="3327" max="3327" width="38" style="1" customWidth="1"/>
    <col min="3328" max="3328" width="2.42578125" style="1" customWidth="1"/>
    <col min="3329" max="3576" width="9.140625" style="1"/>
    <col min="3577" max="3577" width="2.28515625" style="1" customWidth="1"/>
    <col min="3578" max="3578" width="44.7109375" style="1" customWidth="1"/>
    <col min="3579" max="3579" width="0" style="1" hidden="1" customWidth="1"/>
    <col min="3580" max="3580" width="4.28515625" style="1" customWidth="1"/>
    <col min="3581" max="3581" width="40.42578125" style="1" customWidth="1"/>
    <col min="3582" max="3582" width="4.28515625" style="1" customWidth="1"/>
    <col min="3583" max="3583" width="38" style="1" customWidth="1"/>
    <col min="3584" max="3584" width="2.42578125" style="1" customWidth="1"/>
    <col min="3585" max="3832" width="9.140625" style="1"/>
    <col min="3833" max="3833" width="2.28515625" style="1" customWidth="1"/>
    <col min="3834" max="3834" width="44.7109375" style="1" customWidth="1"/>
    <col min="3835" max="3835" width="0" style="1" hidden="1" customWidth="1"/>
    <col min="3836" max="3836" width="4.28515625" style="1" customWidth="1"/>
    <col min="3837" max="3837" width="40.42578125" style="1" customWidth="1"/>
    <col min="3838" max="3838" width="4.28515625" style="1" customWidth="1"/>
    <col min="3839" max="3839" width="38" style="1" customWidth="1"/>
    <col min="3840" max="3840" width="2.42578125" style="1" customWidth="1"/>
    <col min="3841" max="4088" width="9.140625" style="1"/>
    <col min="4089" max="4089" width="2.28515625" style="1" customWidth="1"/>
    <col min="4090" max="4090" width="44.7109375" style="1" customWidth="1"/>
    <col min="4091" max="4091" width="0" style="1" hidden="1" customWidth="1"/>
    <col min="4092" max="4092" width="4.28515625" style="1" customWidth="1"/>
    <col min="4093" max="4093" width="40.42578125" style="1" customWidth="1"/>
    <col min="4094" max="4094" width="4.28515625" style="1" customWidth="1"/>
    <col min="4095" max="4095" width="38" style="1" customWidth="1"/>
    <col min="4096" max="4096" width="2.42578125" style="1" customWidth="1"/>
    <col min="4097" max="4344" width="9.140625" style="1"/>
    <col min="4345" max="4345" width="2.28515625" style="1" customWidth="1"/>
    <col min="4346" max="4346" width="44.7109375" style="1" customWidth="1"/>
    <col min="4347" max="4347" width="0" style="1" hidden="1" customWidth="1"/>
    <col min="4348" max="4348" width="4.28515625" style="1" customWidth="1"/>
    <col min="4349" max="4349" width="40.42578125" style="1" customWidth="1"/>
    <col min="4350" max="4350" width="4.28515625" style="1" customWidth="1"/>
    <col min="4351" max="4351" width="38" style="1" customWidth="1"/>
    <col min="4352" max="4352" width="2.42578125" style="1" customWidth="1"/>
    <col min="4353" max="4600" width="9.140625" style="1"/>
    <col min="4601" max="4601" width="2.28515625" style="1" customWidth="1"/>
    <col min="4602" max="4602" width="44.7109375" style="1" customWidth="1"/>
    <col min="4603" max="4603" width="0" style="1" hidden="1" customWidth="1"/>
    <col min="4604" max="4604" width="4.28515625" style="1" customWidth="1"/>
    <col min="4605" max="4605" width="40.42578125" style="1" customWidth="1"/>
    <col min="4606" max="4606" width="4.28515625" style="1" customWidth="1"/>
    <col min="4607" max="4607" width="38" style="1" customWidth="1"/>
    <col min="4608" max="4608" width="2.42578125" style="1" customWidth="1"/>
    <col min="4609" max="4856" width="9.140625" style="1"/>
    <col min="4857" max="4857" width="2.28515625" style="1" customWidth="1"/>
    <col min="4858" max="4858" width="44.7109375" style="1" customWidth="1"/>
    <col min="4859" max="4859" width="0" style="1" hidden="1" customWidth="1"/>
    <col min="4860" max="4860" width="4.28515625" style="1" customWidth="1"/>
    <col min="4861" max="4861" width="40.42578125" style="1" customWidth="1"/>
    <col min="4862" max="4862" width="4.28515625" style="1" customWidth="1"/>
    <col min="4863" max="4863" width="38" style="1" customWidth="1"/>
    <col min="4864" max="4864" width="2.42578125" style="1" customWidth="1"/>
    <col min="4865" max="5112" width="9.140625" style="1"/>
    <col min="5113" max="5113" width="2.28515625" style="1" customWidth="1"/>
    <col min="5114" max="5114" width="44.7109375" style="1" customWidth="1"/>
    <col min="5115" max="5115" width="0" style="1" hidden="1" customWidth="1"/>
    <col min="5116" max="5116" width="4.28515625" style="1" customWidth="1"/>
    <col min="5117" max="5117" width="40.42578125" style="1" customWidth="1"/>
    <col min="5118" max="5118" width="4.28515625" style="1" customWidth="1"/>
    <col min="5119" max="5119" width="38" style="1" customWidth="1"/>
    <col min="5120" max="5120" width="2.42578125" style="1" customWidth="1"/>
    <col min="5121" max="5368" width="9.140625" style="1"/>
    <col min="5369" max="5369" width="2.28515625" style="1" customWidth="1"/>
    <col min="5370" max="5370" width="44.7109375" style="1" customWidth="1"/>
    <col min="5371" max="5371" width="0" style="1" hidden="1" customWidth="1"/>
    <col min="5372" max="5372" width="4.28515625" style="1" customWidth="1"/>
    <col min="5373" max="5373" width="40.42578125" style="1" customWidth="1"/>
    <col min="5374" max="5374" width="4.28515625" style="1" customWidth="1"/>
    <col min="5375" max="5375" width="38" style="1" customWidth="1"/>
    <col min="5376" max="5376" width="2.42578125" style="1" customWidth="1"/>
    <col min="5377" max="5624" width="9.140625" style="1"/>
    <col min="5625" max="5625" width="2.28515625" style="1" customWidth="1"/>
    <col min="5626" max="5626" width="44.7109375" style="1" customWidth="1"/>
    <col min="5627" max="5627" width="0" style="1" hidden="1" customWidth="1"/>
    <col min="5628" max="5628" width="4.28515625" style="1" customWidth="1"/>
    <col min="5629" max="5629" width="40.42578125" style="1" customWidth="1"/>
    <col min="5630" max="5630" width="4.28515625" style="1" customWidth="1"/>
    <col min="5631" max="5631" width="38" style="1" customWidth="1"/>
    <col min="5632" max="5632" width="2.42578125" style="1" customWidth="1"/>
    <col min="5633" max="5880" width="9.140625" style="1"/>
    <col min="5881" max="5881" width="2.28515625" style="1" customWidth="1"/>
    <col min="5882" max="5882" width="44.7109375" style="1" customWidth="1"/>
    <col min="5883" max="5883" width="0" style="1" hidden="1" customWidth="1"/>
    <col min="5884" max="5884" width="4.28515625" style="1" customWidth="1"/>
    <col min="5885" max="5885" width="40.42578125" style="1" customWidth="1"/>
    <col min="5886" max="5886" width="4.28515625" style="1" customWidth="1"/>
    <col min="5887" max="5887" width="38" style="1" customWidth="1"/>
    <col min="5888" max="5888" width="2.42578125" style="1" customWidth="1"/>
    <col min="5889" max="6136" width="9.140625" style="1"/>
    <col min="6137" max="6137" width="2.28515625" style="1" customWidth="1"/>
    <col min="6138" max="6138" width="44.7109375" style="1" customWidth="1"/>
    <col min="6139" max="6139" width="0" style="1" hidden="1" customWidth="1"/>
    <col min="6140" max="6140" width="4.28515625" style="1" customWidth="1"/>
    <col min="6141" max="6141" width="40.42578125" style="1" customWidth="1"/>
    <col min="6142" max="6142" width="4.28515625" style="1" customWidth="1"/>
    <col min="6143" max="6143" width="38" style="1" customWidth="1"/>
    <col min="6144" max="6144" width="2.42578125" style="1" customWidth="1"/>
    <col min="6145" max="6392" width="9.140625" style="1"/>
    <col min="6393" max="6393" width="2.28515625" style="1" customWidth="1"/>
    <col min="6394" max="6394" width="44.7109375" style="1" customWidth="1"/>
    <col min="6395" max="6395" width="0" style="1" hidden="1" customWidth="1"/>
    <col min="6396" max="6396" width="4.28515625" style="1" customWidth="1"/>
    <col min="6397" max="6397" width="40.42578125" style="1" customWidth="1"/>
    <col min="6398" max="6398" width="4.28515625" style="1" customWidth="1"/>
    <col min="6399" max="6399" width="38" style="1" customWidth="1"/>
    <col min="6400" max="6400" width="2.42578125" style="1" customWidth="1"/>
    <col min="6401" max="6648" width="9.140625" style="1"/>
    <col min="6649" max="6649" width="2.28515625" style="1" customWidth="1"/>
    <col min="6650" max="6650" width="44.7109375" style="1" customWidth="1"/>
    <col min="6651" max="6651" width="0" style="1" hidden="1" customWidth="1"/>
    <col min="6652" max="6652" width="4.28515625" style="1" customWidth="1"/>
    <col min="6653" max="6653" width="40.42578125" style="1" customWidth="1"/>
    <col min="6654" max="6654" width="4.28515625" style="1" customWidth="1"/>
    <col min="6655" max="6655" width="38" style="1" customWidth="1"/>
    <col min="6656" max="6656" width="2.42578125" style="1" customWidth="1"/>
    <col min="6657" max="6904" width="9.140625" style="1"/>
    <col min="6905" max="6905" width="2.28515625" style="1" customWidth="1"/>
    <col min="6906" max="6906" width="44.7109375" style="1" customWidth="1"/>
    <col min="6907" max="6907" width="0" style="1" hidden="1" customWidth="1"/>
    <col min="6908" max="6908" width="4.28515625" style="1" customWidth="1"/>
    <col min="6909" max="6909" width="40.42578125" style="1" customWidth="1"/>
    <col min="6910" max="6910" width="4.28515625" style="1" customWidth="1"/>
    <col min="6911" max="6911" width="38" style="1" customWidth="1"/>
    <col min="6912" max="6912" width="2.42578125" style="1" customWidth="1"/>
    <col min="6913" max="7160" width="9.140625" style="1"/>
    <col min="7161" max="7161" width="2.28515625" style="1" customWidth="1"/>
    <col min="7162" max="7162" width="44.7109375" style="1" customWidth="1"/>
    <col min="7163" max="7163" width="0" style="1" hidden="1" customWidth="1"/>
    <col min="7164" max="7164" width="4.28515625" style="1" customWidth="1"/>
    <col min="7165" max="7165" width="40.42578125" style="1" customWidth="1"/>
    <col min="7166" max="7166" width="4.28515625" style="1" customWidth="1"/>
    <col min="7167" max="7167" width="38" style="1" customWidth="1"/>
    <col min="7168" max="7168" width="2.42578125" style="1" customWidth="1"/>
    <col min="7169" max="7416" width="9.140625" style="1"/>
    <col min="7417" max="7417" width="2.28515625" style="1" customWidth="1"/>
    <col min="7418" max="7418" width="44.7109375" style="1" customWidth="1"/>
    <col min="7419" max="7419" width="0" style="1" hidden="1" customWidth="1"/>
    <col min="7420" max="7420" width="4.28515625" style="1" customWidth="1"/>
    <col min="7421" max="7421" width="40.42578125" style="1" customWidth="1"/>
    <col min="7422" max="7422" width="4.28515625" style="1" customWidth="1"/>
    <col min="7423" max="7423" width="38" style="1" customWidth="1"/>
    <col min="7424" max="7424" width="2.42578125" style="1" customWidth="1"/>
    <col min="7425" max="7672" width="9.140625" style="1"/>
    <col min="7673" max="7673" width="2.28515625" style="1" customWidth="1"/>
    <col min="7674" max="7674" width="44.7109375" style="1" customWidth="1"/>
    <col min="7675" max="7675" width="0" style="1" hidden="1" customWidth="1"/>
    <col min="7676" max="7676" width="4.28515625" style="1" customWidth="1"/>
    <col min="7677" max="7677" width="40.42578125" style="1" customWidth="1"/>
    <col min="7678" max="7678" width="4.28515625" style="1" customWidth="1"/>
    <col min="7679" max="7679" width="38" style="1" customWidth="1"/>
    <col min="7680" max="7680" width="2.42578125" style="1" customWidth="1"/>
    <col min="7681" max="7928" width="9.140625" style="1"/>
    <col min="7929" max="7929" width="2.28515625" style="1" customWidth="1"/>
    <col min="7930" max="7930" width="44.7109375" style="1" customWidth="1"/>
    <col min="7931" max="7931" width="0" style="1" hidden="1" customWidth="1"/>
    <col min="7932" max="7932" width="4.28515625" style="1" customWidth="1"/>
    <col min="7933" max="7933" width="40.42578125" style="1" customWidth="1"/>
    <col min="7934" max="7934" width="4.28515625" style="1" customWidth="1"/>
    <col min="7935" max="7935" width="38" style="1" customWidth="1"/>
    <col min="7936" max="7936" width="2.42578125" style="1" customWidth="1"/>
    <col min="7937" max="8184" width="9.140625" style="1"/>
    <col min="8185" max="8185" width="2.28515625" style="1" customWidth="1"/>
    <col min="8186" max="8186" width="44.7109375" style="1" customWidth="1"/>
    <col min="8187" max="8187" width="0" style="1" hidden="1" customWidth="1"/>
    <col min="8188" max="8188" width="4.28515625" style="1" customWidth="1"/>
    <col min="8189" max="8189" width="40.42578125" style="1" customWidth="1"/>
    <col min="8190" max="8190" width="4.28515625" style="1" customWidth="1"/>
    <col min="8191" max="8191" width="38" style="1" customWidth="1"/>
    <col min="8192" max="8192" width="2.42578125" style="1" customWidth="1"/>
    <col min="8193" max="8440" width="9.140625" style="1"/>
    <col min="8441" max="8441" width="2.28515625" style="1" customWidth="1"/>
    <col min="8442" max="8442" width="44.7109375" style="1" customWidth="1"/>
    <col min="8443" max="8443" width="0" style="1" hidden="1" customWidth="1"/>
    <col min="8444" max="8444" width="4.28515625" style="1" customWidth="1"/>
    <col min="8445" max="8445" width="40.42578125" style="1" customWidth="1"/>
    <col min="8446" max="8446" width="4.28515625" style="1" customWidth="1"/>
    <col min="8447" max="8447" width="38" style="1" customWidth="1"/>
    <col min="8448" max="8448" width="2.42578125" style="1" customWidth="1"/>
    <col min="8449" max="8696" width="9.140625" style="1"/>
    <col min="8697" max="8697" width="2.28515625" style="1" customWidth="1"/>
    <col min="8698" max="8698" width="44.7109375" style="1" customWidth="1"/>
    <col min="8699" max="8699" width="0" style="1" hidden="1" customWidth="1"/>
    <col min="8700" max="8700" width="4.28515625" style="1" customWidth="1"/>
    <col min="8701" max="8701" width="40.42578125" style="1" customWidth="1"/>
    <col min="8702" max="8702" width="4.28515625" style="1" customWidth="1"/>
    <col min="8703" max="8703" width="38" style="1" customWidth="1"/>
    <col min="8704" max="8704" width="2.42578125" style="1" customWidth="1"/>
    <col min="8705" max="8952" width="9.140625" style="1"/>
    <col min="8953" max="8953" width="2.28515625" style="1" customWidth="1"/>
    <col min="8954" max="8954" width="44.7109375" style="1" customWidth="1"/>
    <col min="8955" max="8955" width="0" style="1" hidden="1" customWidth="1"/>
    <col min="8956" max="8956" width="4.28515625" style="1" customWidth="1"/>
    <col min="8957" max="8957" width="40.42578125" style="1" customWidth="1"/>
    <col min="8958" max="8958" width="4.28515625" style="1" customWidth="1"/>
    <col min="8959" max="8959" width="38" style="1" customWidth="1"/>
    <col min="8960" max="8960" width="2.42578125" style="1" customWidth="1"/>
    <col min="8961" max="9208" width="9.140625" style="1"/>
    <col min="9209" max="9209" width="2.28515625" style="1" customWidth="1"/>
    <col min="9210" max="9210" width="44.7109375" style="1" customWidth="1"/>
    <col min="9211" max="9211" width="0" style="1" hidden="1" customWidth="1"/>
    <col min="9212" max="9212" width="4.28515625" style="1" customWidth="1"/>
    <col min="9213" max="9213" width="40.42578125" style="1" customWidth="1"/>
    <col min="9214" max="9214" width="4.28515625" style="1" customWidth="1"/>
    <col min="9215" max="9215" width="38" style="1" customWidth="1"/>
    <col min="9216" max="9216" width="2.42578125" style="1" customWidth="1"/>
    <col min="9217" max="9464" width="9.140625" style="1"/>
    <col min="9465" max="9465" width="2.28515625" style="1" customWidth="1"/>
    <col min="9466" max="9466" width="44.7109375" style="1" customWidth="1"/>
    <col min="9467" max="9467" width="0" style="1" hidden="1" customWidth="1"/>
    <col min="9468" max="9468" width="4.28515625" style="1" customWidth="1"/>
    <col min="9469" max="9469" width="40.42578125" style="1" customWidth="1"/>
    <col min="9470" max="9470" width="4.28515625" style="1" customWidth="1"/>
    <col min="9471" max="9471" width="38" style="1" customWidth="1"/>
    <col min="9472" max="9472" width="2.42578125" style="1" customWidth="1"/>
    <col min="9473" max="9720" width="9.140625" style="1"/>
    <col min="9721" max="9721" width="2.28515625" style="1" customWidth="1"/>
    <col min="9722" max="9722" width="44.7109375" style="1" customWidth="1"/>
    <col min="9723" max="9723" width="0" style="1" hidden="1" customWidth="1"/>
    <col min="9724" max="9724" width="4.28515625" style="1" customWidth="1"/>
    <col min="9725" max="9725" width="40.42578125" style="1" customWidth="1"/>
    <col min="9726" max="9726" width="4.28515625" style="1" customWidth="1"/>
    <col min="9727" max="9727" width="38" style="1" customWidth="1"/>
    <col min="9728" max="9728" width="2.42578125" style="1" customWidth="1"/>
    <col min="9729" max="9976" width="9.140625" style="1"/>
    <col min="9977" max="9977" width="2.28515625" style="1" customWidth="1"/>
    <col min="9978" max="9978" width="44.7109375" style="1" customWidth="1"/>
    <col min="9979" max="9979" width="0" style="1" hidden="1" customWidth="1"/>
    <col min="9980" max="9980" width="4.28515625" style="1" customWidth="1"/>
    <col min="9981" max="9981" width="40.42578125" style="1" customWidth="1"/>
    <col min="9982" max="9982" width="4.28515625" style="1" customWidth="1"/>
    <col min="9983" max="9983" width="38" style="1" customWidth="1"/>
    <col min="9984" max="9984" width="2.42578125" style="1" customWidth="1"/>
    <col min="9985" max="10232" width="9.140625" style="1"/>
    <col min="10233" max="10233" width="2.28515625" style="1" customWidth="1"/>
    <col min="10234" max="10234" width="44.7109375" style="1" customWidth="1"/>
    <col min="10235" max="10235" width="0" style="1" hidden="1" customWidth="1"/>
    <col min="10236" max="10236" width="4.28515625" style="1" customWidth="1"/>
    <col min="10237" max="10237" width="40.42578125" style="1" customWidth="1"/>
    <col min="10238" max="10238" width="4.28515625" style="1" customWidth="1"/>
    <col min="10239" max="10239" width="38" style="1" customWidth="1"/>
    <col min="10240" max="10240" width="2.42578125" style="1" customWidth="1"/>
    <col min="10241" max="10488" width="9.140625" style="1"/>
    <col min="10489" max="10489" width="2.28515625" style="1" customWidth="1"/>
    <col min="10490" max="10490" width="44.7109375" style="1" customWidth="1"/>
    <col min="10491" max="10491" width="0" style="1" hidden="1" customWidth="1"/>
    <col min="10492" max="10492" width="4.28515625" style="1" customWidth="1"/>
    <col min="10493" max="10493" width="40.42578125" style="1" customWidth="1"/>
    <col min="10494" max="10494" width="4.28515625" style="1" customWidth="1"/>
    <col min="10495" max="10495" width="38" style="1" customWidth="1"/>
    <col min="10496" max="10496" width="2.42578125" style="1" customWidth="1"/>
    <col min="10497" max="10744" width="9.140625" style="1"/>
    <col min="10745" max="10745" width="2.28515625" style="1" customWidth="1"/>
    <col min="10746" max="10746" width="44.7109375" style="1" customWidth="1"/>
    <col min="10747" max="10747" width="0" style="1" hidden="1" customWidth="1"/>
    <col min="10748" max="10748" width="4.28515625" style="1" customWidth="1"/>
    <col min="10749" max="10749" width="40.42578125" style="1" customWidth="1"/>
    <col min="10750" max="10750" width="4.28515625" style="1" customWidth="1"/>
    <col min="10751" max="10751" width="38" style="1" customWidth="1"/>
    <col min="10752" max="10752" width="2.42578125" style="1" customWidth="1"/>
    <col min="10753" max="11000" width="9.140625" style="1"/>
    <col min="11001" max="11001" width="2.28515625" style="1" customWidth="1"/>
    <col min="11002" max="11002" width="44.7109375" style="1" customWidth="1"/>
    <col min="11003" max="11003" width="0" style="1" hidden="1" customWidth="1"/>
    <col min="11004" max="11004" width="4.28515625" style="1" customWidth="1"/>
    <col min="11005" max="11005" width="40.42578125" style="1" customWidth="1"/>
    <col min="11006" max="11006" width="4.28515625" style="1" customWidth="1"/>
    <col min="11007" max="11007" width="38" style="1" customWidth="1"/>
    <col min="11008" max="11008" width="2.42578125" style="1" customWidth="1"/>
    <col min="11009" max="11256" width="9.140625" style="1"/>
    <col min="11257" max="11257" width="2.28515625" style="1" customWidth="1"/>
    <col min="11258" max="11258" width="44.7109375" style="1" customWidth="1"/>
    <col min="11259" max="11259" width="0" style="1" hidden="1" customWidth="1"/>
    <col min="11260" max="11260" width="4.28515625" style="1" customWidth="1"/>
    <col min="11261" max="11261" width="40.42578125" style="1" customWidth="1"/>
    <col min="11262" max="11262" width="4.28515625" style="1" customWidth="1"/>
    <col min="11263" max="11263" width="38" style="1" customWidth="1"/>
    <col min="11264" max="11264" width="2.42578125" style="1" customWidth="1"/>
    <col min="11265" max="11512" width="9.140625" style="1"/>
    <col min="11513" max="11513" width="2.28515625" style="1" customWidth="1"/>
    <col min="11514" max="11514" width="44.7109375" style="1" customWidth="1"/>
    <col min="11515" max="11515" width="0" style="1" hidden="1" customWidth="1"/>
    <col min="11516" max="11516" width="4.28515625" style="1" customWidth="1"/>
    <col min="11517" max="11517" width="40.42578125" style="1" customWidth="1"/>
    <col min="11518" max="11518" width="4.28515625" style="1" customWidth="1"/>
    <col min="11519" max="11519" width="38" style="1" customWidth="1"/>
    <col min="11520" max="11520" width="2.42578125" style="1" customWidth="1"/>
    <col min="11521" max="11768" width="9.140625" style="1"/>
    <col min="11769" max="11769" width="2.28515625" style="1" customWidth="1"/>
    <col min="11770" max="11770" width="44.7109375" style="1" customWidth="1"/>
    <col min="11771" max="11771" width="0" style="1" hidden="1" customWidth="1"/>
    <col min="11772" max="11772" width="4.28515625" style="1" customWidth="1"/>
    <col min="11773" max="11773" width="40.42578125" style="1" customWidth="1"/>
    <col min="11774" max="11774" width="4.28515625" style="1" customWidth="1"/>
    <col min="11775" max="11775" width="38" style="1" customWidth="1"/>
    <col min="11776" max="11776" width="2.42578125" style="1" customWidth="1"/>
    <col min="11777" max="12024" width="9.140625" style="1"/>
    <col min="12025" max="12025" width="2.28515625" style="1" customWidth="1"/>
    <col min="12026" max="12026" width="44.7109375" style="1" customWidth="1"/>
    <col min="12027" max="12027" width="0" style="1" hidden="1" customWidth="1"/>
    <col min="12028" max="12028" width="4.28515625" style="1" customWidth="1"/>
    <col min="12029" max="12029" width="40.42578125" style="1" customWidth="1"/>
    <col min="12030" max="12030" width="4.28515625" style="1" customWidth="1"/>
    <col min="12031" max="12031" width="38" style="1" customWidth="1"/>
    <col min="12032" max="12032" width="2.42578125" style="1" customWidth="1"/>
    <col min="12033" max="12280" width="9.140625" style="1"/>
    <col min="12281" max="12281" width="2.28515625" style="1" customWidth="1"/>
    <col min="12282" max="12282" width="44.7109375" style="1" customWidth="1"/>
    <col min="12283" max="12283" width="0" style="1" hidden="1" customWidth="1"/>
    <col min="12284" max="12284" width="4.28515625" style="1" customWidth="1"/>
    <col min="12285" max="12285" width="40.42578125" style="1" customWidth="1"/>
    <col min="12286" max="12286" width="4.28515625" style="1" customWidth="1"/>
    <col min="12287" max="12287" width="38" style="1" customWidth="1"/>
    <col min="12288" max="12288" width="2.42578125" style="1" customWidth="1"/>
    <col min="12289" max="12536" width="9.140625" style="1"/>
    <col min="12537" max="12537" width="2.28515625" style="1" customWidth="1"/>
    <col min="12538" max="12538" width="44.7109375" style="1" customWidth="1"/>
    <col min="12539" max="12539" width="0" style="1" hidden="1" customWidth="1"/>
    <col min="12540" max="12540" width="4.28515625" style="1" customWidth="1"/>
    <col min="12541" max="12541" width="40.42578125" style="1" customWidth="1"/>
    <col min="12542" max="12542" width="4.28515625" style="1" customWidth="1"/>
    <col min="12543" max="12543" width="38" style="1" customWidth="1"/>
    <col min="12544" max="12544" width="2.42578125" style="1" customWidth="1"/>
    <col min="12545" max="12792" width="9.140625" style="1"/>
    <col min="12793" max="12793" width="2.28515625" style="1" customWidth="1"/>
    <col min="12794" max="12794" width="44.7109375" style="1" customWidth="1"/>
    <col min="12795" max="12795" width="0" style="1" hidden="1" customWidth="1"/>
    <col min="12796" max="12796" width="4.28515625" style="1" customWidth="1"/>
    <col min="12797" max="12797" width="40.42578125" style="1" customWidth="1"/>
    <col min="12798" max="12798" width="4.28515625" style="1" customWidth="1"/>
    <col min="12799" max="12799" width="38" style="1" customWidth="1"/>
    <col min="12800" max="12800" width="2.42578125" style="1" customWidth="1"/>
    <col min="12801" max="13048" width="9.140625" style="1"/>
    <col min="13049" max="13049" width="2.28515625" style="1" customWidth="1"/>
    <col min="13050" max="13050" width="44.7109375" style="1" customWidth="1"/>
    <col min="13051" max="13051" width="0" style="1" hidden="1" customWidth="1"/>
    <col min="13052" max="13052" width="4.28515625" style="1" customWidth="1"/>
    <col min="13053" max="13053" width="40.42578125" style="1" customWidth="1"/>
    <col min="13054" max="13054" width="4.28515625" style="1" customWidth="1"/>
    <col min="13055" max="13055" width="38" style="1" customWidth="1"/>
    <col min="13056" max="13056" width="2.42578125" style="1" customWidth="1"/>
    <col min="13057" max="13304" width="9.140625" style="1"/>
    <col min="13305" max="13305" width="2.28515625" style="1" customWidth="1"/>
    <col min="13306" max="13306" width="44.7109375" style="1" customWidth="1"/>
    <col min="13307" max="13307" width="0" style="1" hidden="1" customWidth="1"/>
    <col min="13308" max="13308" width="4.28515625" style="1" customWidth="1"/>
    <col min="13309" max="13309" width="40.42578125" style="1" customWidth="1"/>
    <col min="13310" max="13310" width="4.28515625" style="1" customWidth="1"/>
    <col min="13311" max="13311" width="38" style="1" customWidth="1"/>
    <col min="13312" max="13312" width="2.42578125" style="1" customWidth="1"/>
    <col min="13313" max="13560" width="9.140625" style="1"/>
    <col min="13561" max="13561" width="2.28515625" style="1" customWidth="1"/>
    <col min="13562" max="13562" width="44.7109375" style="1" customWidth="1"/>
    <col min="13563" max="13563" width="0" style="1" hidden="1" customWidth="1"/>
    <col min="13564" max="13564" width="4.28515625" style="1" customWidth="1"/>
    <col min="13565" max="13565" width="40.42578125" style="1" customWidth="1"/>
    <col min="13566" max="13566" width="4.28515625" style="1" customWidth="1"/>
    <col min="13567" max="13567" width="38" style="1" customWidth="1"/>
    <col min="13568" max="13568" width="2.42578125" style="1" customWidth="1"/>
    <col min="13569" max="13816" width="9.140625" style="1"/>
    <col min="13817" max="13817" width="2.28515625" style="1" customWidth="1"/>
    <col min="13818" max="13818" width="44.7109375" style="1" customWidth="1"/>
    <col min="13819" max="13819" width="0" style="1" hidden="1" customWidth="1"/>
    <col min="13820" max="13820" width="4.28515625" style="1" customWidth="1"/>
    <col min="13821" max="13821" width="40.42578125" style="1" customWidth="1"/>
    <col min="13822" max="13822" width="4.28515625" style="1" customWidth="1"/>
    <col min="13823" max="13823" width="38" style="1" customWidth="1"/>
    <col min="13824" max="13824" width="2.42578125" style="1" customWidth="1"/>
    <col min="13825" max="14072" width="9.140625" style="1"/>
    <col min="14073" max="14073" width="2.28515625" style="1" customWidth="1"/>
    <col min="14074" max="14074" width="44.7109375" style="1" customWidth="1"/>
    <col min="14075" max="14075" width="0" style="1" hidden="1" customWidth="1"/>
    <col min="14076" max="14076" width="4.28515625" style="1" customWidth="1"/>
    <col min="14077" max="14077" width="40.42578125" style="1" customWidth="1"/>
    <col min="14078" max="14078" width="4.28515625" style="1" customWidth="1"/>
    <col min="14079" max="14079" width="38" style="1" customWidth="1"/>
    <col min="14080" max="14080" width="2.42578125" style="1" customWidth="1"/>
    <col min="14081" max="14328" width="9.140625" style="1"/>
    <col min="14329" max="14329" width="2.28515625" style="1" customWidth="1"/>
    <col min="14330" max="14330" width="44.7109375" style="1" customWidth="1"/>
    <col min="14331" max="14331" width="0" style="1" hidden="1" customWidth="1"/>
    <col min="14332" max="14332" width="4.28515625" style="1" customWidth="1"/>
    <col min="14333" max="14333" width="40.42578125" style="1" customWidth="1"/>
    <col min="14334" max="14334" width="4.28515625" style="1" customWidth="1"/>
    <col min="14335" max="14335" width="38" style="1" customWidth="1"/>
    <col min="14336" max="14336" width="2.42578125" style="1" customWidth="1"/>
    <col min="14337" max="14584" width="9.140625" style="1"/>
    <col min="14585" max="14585" width="2.28515625" style="1" customWidth="1"/>
    <col min="14586" max="14586" width="44.7109375" style="1" customWidth="1"/>
    <col min="14587" max="14587" width="0" style="1" hidden="1" customWidth="1"/>
    <col min="14588" max="14588" width="4.28515625" style="1" customWidth="1"/>
    <col min="14589" max="14589" width="40.42578125" style="1" customWidth="1"/>
    <col min="14590" max="14590" width="4.28515625" style="1" customWidth="1"/>
    <col min="14591" max="14591" width="38" style="1" customWidth="1"/>
    <col min="14592" max="14592" width="2.42578125" style="1" customWidth="1"/>
    <col min="14593" max="14840" width="9.140625" style="1"/>
    <col min="14841" max="14841" width="2.28515625" style="1" customWidth="1"/>
    <col min="14842" max="14842" width="44.7109375" style="1" customWidth="1"/>
    <col min="14843" max="14843" width="0" style="1" hidden="1" customWidth="1"/>
    <col min="14844" max="14844" width="4.28515625" style="1" customWidth="1"/>
    <col min="14845" max="14845" width="40.42578125" style="1" customWidth="1"/>
    <col min="14846" max="14846" width="4.28515625" style="1" customWidth="1"/>
    <col min="14847" max="14847" width="38" style="1" customWidth="1"/>
    <col min="14848" max="14848" width="2.42578125" style="1" customWidth="1"/>
    <col min="14849" max="15096" width="9.140625" style="1"/>
    <col min="15097" max="15097" width="2.28515625" style="1" customWidth="1"/>
    <col min="15098" max="15098" width="44.7109375" style="1" customWidth="1"/>
    <col min="15099" max="15099" width="0" style="1" hidden="1" customWidth="1"/>
    <col min="15100" max="15100" width="4.28515625" style="1" customWidth="1"/>
    <col min="15101" max="15101" width="40.42578125" style="1" customWidth="1"/>
    <col min="15102" max="15102" width="4.28515625" style="1" customWidth="1"/>
    <col min="15103" max="15103" width="38" style="1" customWidth="1"/>
    <col min="15104" max="15104" width="2.42578125" style="1" customWidth="1"/>
    <col min="15105" max="15352" width="9.140625" style="1"/>
    <col min="15353" max="15353" width="2.28515625" style="1" customWidth="1"/>
    <col min="15354" max="15354" width="44.7109375" style="1" customWidth="1"/>
    <col min="15355" max="15355" width="0" style="1" hidden="1" customWidth="1"/>
    <col min="15356" max="15356" width="4.28515625" style="1" customWidth="1"/>
    <col min="15357" max="15357" width="40.42578125" style="1" customWidth="1"/>
    <col min="15358" max="15358" width="4.28515625" style="1" customWidth="1"/>
    <col min="15359" max="15359" width="38" style="1" customWidth="1"/>
    <col min="15360" max="15360" width="2.42578125" style="1" customWidth="1"/>
    <col min="15361" max="15608" width="9.140625" style="1"/>
    <col min="15609" max="15609" width="2.28515625" style="1" customWidth="1"/>
    <col min="15610" max="15610" width="44.7109375" style="1" customWidth="1"/>
    <col min="15611" max="15611" width="0" style="1" hidden="1" customWidth="1"/>
    <col min="15612" max="15612" width="4.28515625" style="1" customWidth="1"/>
    <col min="15613" max="15613" width="40.42578125" style="1" customWidth="1"/>
    <col min="15614" max="15614" width="4.28515625" style="1" customWidth="1"/>
    <col min="15615" max="15615" width="38" style="1" customWidth="1"/>
    <col min="15616" max="15616" width="2.42578125" style="1" customWidth="1"/>
    <col min="15617" max="15864" width="9.140625" style="1"/>
    <col min="15865" max="15865" width="2.28515625" style="1" customWidth="1"/>
    <col min="15866" max="15866" width="44.7109375" style="1" customWidth="1"/>
    <col min="15867" max="15867" width="0" style="1" hidden="1" customWidth="1"/>
    <col min="15868" max="15868" width="4.28515625" style="1" customWidth="1"/>
    <col min="15869" max="15869" width="40.42578125" style="1" customWidth="1"/>
    <col min="15870" max="15870" width="4.28515625" style="1" customWidth="1"/>
    <col min="15871" max="15871" width="38" style="1" customWidth="1"/>
    <col min="15872" max="15872" width="2.42578125" style="1" customWidth="1"/>
    <col min="15873" max="16120" width="9.140625" style="1"/>
    <col min="16121" max="16121" width="2.28515625" style="1" customWidth="1"/>
    <col min="16122" max="16122" width="44.7109375" style="1" customWidth="1"/>
    <col min="16123" max="16123" width="0" style="1" hidden="1" customWidth="1"/>
    <col min="16124" max="16124" width="4.28515625" style="1" customWidth="1"/>
    <col min="16125" max="16125" width="40.42578125" style="1" customWidth="1"/>
    <col min="16126" max="16126" width="4.28515625" style="1" customWidth="1"/>
    <col min="16127" max="16127" width="38" style="1" customWidth="1"/>
    <col min="16128" max="16128" width="2.42578125" style="1" customWidth="1"/>
    <col min="16129" max="16384" width="9.140625" style="1"/>
  </cols>
  <sheetData>
    <row r="1" spans="1:12" ht="21.75" customHeight="1" thickTop="1" thickBot="1" x14ac:dyDescent="0.3">
      <c r="A1" s="227" t="str">
        <f>'SELF MENÜ (5)'!A7</f>
        <v>EZOGELİN ÇORBASI</v>
      </c>
      <c r="B1" s="227" t="str">
        <f>'SELF MENÜ (5)'!A13</f>
        <v>BAMYA YEMEĞİ</v>
      </c>
      <c r="C1" s="225"/>
      <c r="D1" s="225"/>
      <c r="E1" s="226"/>
      <c r="F1" s="19"/>
    </row>
    <row r="2" spans="1:12" ht="180" customHeight="1" thickTop="1" thickBot="1" x14ac:dyDescent="0.3">
      <c r="A2" s="227"/>
      <c r="B2" s="227"/>
      <c r="C2" s="225"/>
      <c r="D2" s="225"/>
      <c r="E2" s="226"/>
      <c r="F2" s="19"/>
    </row>
    <row r="3" spans="1:12" ht="81.75" customHeight="1" thickTop="1" thickBot="1" x14ac:dyDescent="0.3">
      <c r="A3" s="33">
        <f>'SELF MENÜ (5)'!B7</f>
        <v>17.239999999999998</v>
      </c>
      <c r="B3" s="33">
        <f>'SELF MENÜ (5)'!B13</f>
        <v>64.25</v>
      </c>
      <c r="C3" s="20"/>
      <c r="D3" s="3"/>
      <c r="E3" s="20"/>
    </row>
    <row r="4" spans="1:12" ht="4.5" customHeight="1" thickTop="1" thickBot="1" x14ac:dyDescent="0.3">
      <c r="C4" s="3"/>
      <c r="D4" s="3"/>
      <c r="E4" s="19"/>
    </row>
    <row r="5" spans="1:12" ht="24.75" customHeight="1" thickTop="1" thickBot="1" x14ac:dyDescent="0.3">
      <c r="A5" s="227" t="str">
        <f>'SELF MENÜ (5)'!A14</f>
        <v>TAVUK BUT ROTİ</v>
      </c>
      <c r="B5" s="227" t="str">
        <f>'SELF MENÜ (5)'!A15</f>
        <v>HASANPAŞA KÖFTE</v>
      </c>
      <c r="C5" s="2"/>
      <c r="D5" s="2"/>
      <c r="E5" s="19"/>
    </row>
    <row r="6" spans="1:12" ht="180" customHeight="1" thickTop="1" thickBot="1" x14ac:dyDescent="0.3">
      <c r="A6" s="227"/>
      <c r="B6" s="227"/>
      <c r="C6" s="2"/>
      <c r="D6" s="2"/>
      <c r="E6" s="19"/>
      <c r="F6" s="19"/>
    </row>
    <row r="7" spans="1:12" ht="81.75" customHeight="1" thickTop="1" thickBot="1" x14ac:dyDescent="0.3">
      <c r="A7" s="33">
        <f>'SELF MENÜ (5)'!B14</f>
        <v>58.3</v>
      </c>
      <c r="B7" s="33">
        <f>'SELF MENÜ (5)'!B15</f>
        <v>161.49</v>
      </c>
      <c r="C7" s="20"/>
      <c r="D7" s="3"/>
      <c r="E7" s="20"/>
    </row>
    <row r="8" spans="1:12" ht="5.0999999999999996" customHeight="1" thickTop="1" thickBot="1" x14ac:dyDescent="0.3">
      <c r="C8" s="2"/>
      <c r="D8" s="2"/>
    </row>
    <row r="9" spans="1:12" ht="24.75" customHeight="1" thickTop="1" thickBot="1" x14ac:dyDescent="0.3">
      <c r="A9" s="227" t="str">
        <f>'SELF MENÜ (5)'!A20</f>
        <v>TEL ŞEHRİYELİ PİRİNÇ PİLAVI</v>
      </c>
      <c r="B9" s="227" t="str">
        <f>'SELF MENÜ (5)'!A26</f>
        <v>MEVSİM SALATA</v>
      </c>
      <c r="C9" s="2"/>
      <c r="D9" s="2"/>
    </row>
    <row r="10" spans="1:12" ht="180" customHeight="1" thickTop="1" thickBot="1" x14ac:dyDescent="0.3">
      <c r="A10" s="227"/>
      <c r="B10" s="227"/>
      <c r="C10" s="2"/>
      <c r="D10" s="2"/>
      <c r="F10" s="19"/>
    </row>
    <row r="11" spans="1:12" ht="81.75" customHeight="1" thickTop="1" thickBot="1" x14ac:dyDescent="0.3">
      <c r="A11" s="33">
        <f>'SELF MENÜ (5)'!B20</f>
        <v>14.53</v>
      </c>
      <c r="B11" s="33">
        <f>'SELF MENÜ (5)'!B26</f>
        <v>27.19</v>
      </c>
      <c r="C11" s="20"/>
      <c r="D11" s="3"/>
      <c r="E11" s="20"/>
      <c r="G11" s="1" t="s">
        <v>0</v>
      </c>
    </row>
    <row r="12" spans="1:12" ht="5.0999999999999996" customHeight="1" thickTop="1" thickBot="1" x14ac:dyDescent="0.3">
      <c r="C12" s="2"/>
      <c r="D12" s="2"/>
      <c r="L12" s="1" t="s">
        <v>0</v>
      </c>
    </row>
    <row r="13" spans="1:12" ht="24.75" customHeight="1" thickTop="1" thickBot="1" x14ac:dyDescent="0.3">
      <c r="A13" s="227" t="str">
        <f>'SELF MENÜ (5)'!E29</f>
        <v>KARPUZ</v>
      </c>
      <c r="B13" s="227" t="str">
        <f>'SELF MENÜ (5)'!E30</f>
        <v>TRİLİÇE</v>
      </c>
      <c r="C13" s="32"/>
      <c r="D13" s="32"/>
    </row>
    <row r="14" spans="1:12" ht="180" customHeight="1" thickTop="1" thickBot="1" x14ac:dyDescent="0.3">
      <c r="A14" s="227"/>
      <c r="B14" s="227"/>
      <c r="C14" s="32"/>
      <c r="D14" s="32"/>
      <c r="F14" s="19"/>
    </row>
    <row r="15" spans="1:12" ht="81.75" customHeight="1" thickTop="1" thickBot="1" x14ac:dyDescent="0.3">
      <c r="A15" s="33">
        <f>'SELF MENÜ (5)'!F29</f>
        <v>22.48</v>
      </c>
      <c r="B15" s="33">
        <f>'SELF MENÜ (5)'!F30</f>
        <v>31.9</v>
      </c>
      <c r="C15" s="20"/>
      <c r="D15" s="3"/>
      <c r="E15" s="20"/>
    </row>
    <row r="16" spans="1:12" ht="19.5" thickTop="1" x14ac:dyDescent="0.25">
      <c r="C16" s="19"/>
    </row>
    <row r="17" spans="3:3" x14ac:dyDescent="0.25">
      <c r="C17" s="19"/>
    </row>
    <row r="18" spans="3:3" x14ac:dyDescent="0.25">
      <c r="C18" s="19"/>
    </row>
    <row r="19" spans="3:3" x14ac:dyDescent="0.25">
      <c r="C19" s="19"/>
    </row>
    <row r="20" spans="3:3" x14ac:dyDescent="0.25">
      <c r="C20" s="19"/>
    </row>
    <row r="21" spans="3:3" x14ac:dyDescent="0.25">
      <c r="C21" s="19"/>
    </row>
    <row r="22" spans="3:3" x14ac:dyDescent="0.25">
      <c r="C22" s="19"/>
    </row>
    <row r="23" spans="3:3" x14ac:dyDescent="0.25">
      <c r="C23" s="19"/>
    </row>
    <row r="24" spans="3:3" x14ac:dyDescent="0.25">
      <c r="C24" s="19"/>
    </row>
    <row r="25" spans="3:3" x14ac:dyDescent="0.25">
      <c r="C25" s="19"/>
    </row>
    <row r="26" spans="3:3" x14ac:dyDescent="0.25">
      <c r="C26" s="19"/>
    </row>
    <row r="27" spans="3:3" x14ac:dyDescent="0.25">
      <c r="C27" s="19"/>
    </row>
    <row r="28" spans="3:3" x14ac:dyDescent="0.25">
      <c r="C28" s="19"/>
    </row>
    <row r="29" spans="3:3" x14ac:dyDescent="0.25">
      <c r="C29" s="19"/>
    </row>
    <row r="30" spans="3:3" x14ac:dyDescent="0.25">
      <c r="C30" s="19"/>
    </row>
    <row r="31" spans="3:3" x14ac:dyDescent="0.25">
      <c r="C31" s="19"/>
    </row>
    <row r="32" spans="3:3" x14ac:dyDescent="0.25">
      <c r="C32" s="19"/>
    </row>
    <row r="33" spans="3:3" x14ac:dyDescent="0.25">
      <c r="C33" s="19"/>
    </row>
    <row r="34" spans="3:3" x14ac:dyDescent="0.25">
      <c r="C34" s="19"/>
    </row>
    <row r="35" spans="3:3" x14ac:dyDescent="0.25">
      <c r="C35" s="19"/>
    </row>
    <row r="36" spans="3:3" x14ac:dyDescent="0.25">
      <c r="C36" s="19"/>
    </row>
  </sheetData>
  <mergeCells count="11">
    <mergeCell ref="A9:A10"/>
    <mergeCell ref="B9:B10"/>
    <mergeCell ref="A13:A14"/>
    <mergeCell ref="B13:B14"/>
    <mergeCell ref="A1:A2"/>
    <mergeCell ref="D1:D2"/>
    <mergeCell ref="E1:E2"/>
    <mergeCell ref="A5:A6"/>
    <mergeCell ref="B5:B6"/>
    <mergeCell ref="B1:B2"/>
    <mergeCell ref="C1:C2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4294967294" vertic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V26"/>
  <sheetViews>
    <sheetView zoomScale="20" zoomScaleNormal="20" workbookViewId="0">
      <selection activeCell="L18" sqref="L18:S18"/>
    </sheetView>
  </sheetViews>
  <sheetFormatPr defaultRowHeight="15" x14ac:dyDescent="0.25"/>
  <cols>
    <col min="1" max="1" width="6.28515625" customWidth="1"/>
    <col min="2" max="2" width="80.5703125" customWidth="1"/>
    <col min="3" max="3" width="27.85546875" bestFit="1" customWidth="1"/>
    <col min="4" max="4" width="9.140625" customWidth="1"/>
    <col min="8" max="8" width="93.140625" customWidth="1"/>
    <col min="9" max="9" width="61.42578125" customWidth="1"/>
    <col min="10" max="10" width="1.5703125" customWidth="1"/>
    <col min="11" max="11" width="4.5703125" customWidth="1"/>
    <col min="12" max="12" width="81.42578125" customWidth="1"/>
    <col min="13" max="13" width="5.42578125" customWidth="1"/>
    <col min="16" max="16" width="9.140625" customWidth="1"/>
    <col min="19" max="19" width="64.5703125" customWidth="1"/>
    <col min="20" max="20" width="61.42578125" customWidth="1"/>
  </cols>
  <sheetData>
    <row r="1" spans="1:22" ht="15" customHeight="1" x14ac:dyDescent="0.25">
      <c r="A1" s="232" t="s">
        <v>26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4"/>
      <c r="U1" s="50"/>
      <c r="V1" s="50"/>
    </row>
    <row r="2" spans="1:22" ht="243.75" customHeight="1" x14ac:dyDescent="0.25">
      <c r="A2" s="235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7"/>
      <c r="U2" s="50"/>
      <c r="V2" s="50"/>
    </row>
    <row r="3" spans="1:22" ht="15.75" customHeight="1" thickBot="1" x14ac:dyDescent="0.3">
      <c r="A3" s="235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7"/>
      <c r="U3" s="50"/>
      <c r="V3" s="50"/>
    </row>
    <row r="4" spans="1:22" ht="27" thickBot="1" x14ac:dyDescent="0.45">
      <c r="A4" s="51"/>
      <c r="B4" s="52"/>
      <c r="C4" s="53"/>
      <c r="D4" s="53"/>
      <c r="E4" s="54"/>
      <c r="F4" s="54"/>
      <c r="G4" s="54"/>
      <c r="H4" s="54"/>
      <c r="I4" s="55"/>
      <c r="J4" s="56"/>
      <c r="K4" s="57"/>
      <c r="L4" s="57"/>
      <c r="M4" s="57"/>
      <c r="N4" s="57"/>
      <c r="O4" s="57"/>
      <c r="P4" s="57"/>
      <c r="Q4" s="57"/>
      <c r="R4" s="57"/>
      <c r="S4" s="57"/>
      <c r="T4" s="58"/>
      <c r="U4" s="50"/>
      <c r="V4" s="50"/>
    </row>
    <row r="5" spans="1:22" ht="114" x14ac:dyDescent="2.1">
      <c r="A5" s="51"/>
      <c r="B5" s="238"/>
      <c r="C5" s="239"/>
      <c r="D5" s="239"/>
      <c r="E5" s="57"/>
      <c r="F5" s="57"/>
      <c r="G5" s="57"/>
      <c r="H5" s="57"/>
      <c r="I5" s="59"/>
      <c r="J5" s="56"/>
      <c r="K5" s="57"/>
      <c r="L5" s="60"/>
      <c r="M5" s="61"/>
      <c r="N5" s="61"/>
      <c r="O5" s="61"/>
      <c r="P5" s="62"/>
      <c r="Q5" s="62"/>
      <c r="R5" s="62"/>
      <c r="S5" s="63"/>
      <c r="T5" s="64"/>
      <c r="U5" s="50"/>
      <c r="V5" s="50"/>
    </row>
    <row r="6" spans="1:22" ht="110.25" x14ac:dyDescent="2.0499999999999998">
      <c r="A6" s="50"/>
      <c r="B6" s="228" t="str">
        <f>IF('SELF MENÜ (5)'!A26="", "", 'SELF MENÜ (5)'!A26)</f>
        <v>MEVSİM SALATA</v>
      </c>
      <c r="C6" s="229"/>
      <c r="D6" s="229"/>
      <c r="E6" s="229"/>
      <c r="F6" s="229"/>
      <c r="G6" s="229"/>
      <c r="H6" s="229"/>
      <c r="I6" s="66">
        <f>IF('SELF MENÜ (5)'!B26="", "", 'SELF MENÜ (5)'!B26)</f>
        <v>27.19</v>
      </c>
      <c r="J6" s="67"/>
      <c r="K6" s="68"/>
      <c r="L6" s="228" t="s">
        <v>70</v>
      </c>
      <c r="M6" s="229"/>
      <c r="N6" s="229"/>
      <c r="O6" s="229"/>
      <c r="P6" s="229"/>
      <c r="Q6" s="229"/>
      <c r="R6" s="229"/>
      <c r="S6" s="229"/>
      <c r="T6" s="70">
        <v>16.18</v>
      </c>
      <c r="U6" s="50"/>
      <c r="V6" s="50"/>
    </row>
    <row r="7" spans="1:22" ht="110.25" x14ac:dyDescent="2.0499999999999998">
      <c r="A7" s="50"/>
      <c r="B7" s="71" t="s">
        <v>0</v>
      </c>
      <c r="C7" s="65"/>
      <c r="D7" s="65"/>
      <c r="E7" s="65"/>
      <c r="F7" s="65"/>
      <c r="G7" s="65"/>
      <c r="H7" s="65"/>
      <c r="I7" s="72"/>
      <c r="J7" s="67"/>
      <c r="K7" s="68"/>
      <c r="L7" s="71"/>
      <c r="M7" s="65"/>
      <c r="N7" s="65"/>
      <c r="O7" s="65"/>
      <c r="P7" s="65"/>
      <c r="Q7" s="65"/>
      <c r="R7" s="65"/>
      <c r="S7" s="65"/>
      <c r="T7" s="70"/>
      <c r="U7" s="50"/>
      <c r="V7" s="50"/>
    </row>
    <row r="8" spans="1:22" ht="110.25" x14ac:dyDescent="2.0499999999999998">
      <c r="A8" s="51"/>
      <c r="B8" s="228" t="s">
        <v>21</v>
      </c>
      <c r="C8" s="229"/>
      <c r="D8" s="229"/>
      <c r="E8" s="229"/>
      <c r="F8" s="229"/>
      <c r="G8" s="229"/>
      <c r="H8" s="229"/>
      <c r="I8" s="66">
        <v>18.46</v>
      </c>
      <c r="J8" s="67"/>
      <c r="K8" s="65"/>
      <c r="L8" s="228" t="s">
        <v>67</v>
      </c>
      <c r="M8" s="229"/>
      <c r="N8" s="229"/>
      <c r="O8" s="229"/>
      <c r="P8" s="229"/>
      <c r="Q8" s="229"/>
      <c r="R8" s="229"/>
      <c r="S8" s="229"/>
      <c r="T8" s="70">
        <v>52.08</v>
      </c>
      <c r="U8" s="50"/>
      <c r="V8" s="50"/>
    </row>
    <row r="9" spans="1:22" ht="110.25" x14ac:dyDescent="2.0499999999999998">
      <c r="A9" s="73"/>
      <c r="B9" s="71"/>
      <c r="C9" s="65"/>
      <c r="D9" s="65"/>
      <c r="E9" s="65"/>
      <c r="F9" s="65"/>
      <c r="G9" s="65"/>
      <c r="H9" s="65"/>
      <c r="I9" s="72"/>
      <c r="J9" s="67"/>
      <c r="K9" s="65"/>
      <c r="L9" s="71"/>
      <c r="M9" s="65"/>
      <c r="N9" s="65"/>
      <c r="O9" s="65"/>
      <c r="P9" s="65"/>
      <c r="Q9" s="65"/>
      <c r="R9" s="65"/>
      <c r="S9" s="65"/>
      <c r="T9" s="70"/>
      <c r="U9" s="50"/>
      <c r="V9" s="50"/>
    </row>
    <row r="10" spans="1:22" ht="110.25" x14ac:dyDescent="2.0499999999999998">
      <c r="A10" s="73"/>
      <c r="B10" s="228" t="s">
        <v>65</v>
      </c>
      <c r="C10" s="229"/>
      <c r="D10" s="229"/>
      <c r="E10" s="229"/>
      <c r="F10" s="229"/>
      <c r="G10" s="229"/>
      <c r="H10" s="229"/>
      <c r="I10" s="70">
        <v>23.63</v>
      </c>
      <c r="J10" s="67"/>
      <c r="K10" s="65"/>
      <c r="L10" s="228" t="s">
        <v>68</v>
      </c>
      <c r="M10" s="229"/>
      <c r="N10" s="229"/>
      <c r="O10" s="229"/>
      <c r="P10" s="229"/>
      <c r="Q10" s="229"/>
      <c r="R10" s="229"/>
      <c r="S10" s="229"/>
      <c r="T10" s="70">
        <v>52.77</v>
      </c>
      <c r="U10" s="50"/>
      <c r="V10" s="50"/>
    </row>
    <row r="11" spans="1:22" ht="110.25" x14ac:dyDescent="2.0499999999999998">
      <c r="A11" s="73"/>
      <c r="B11" s="71"/>
      <c r="C11" s="65"/>
      <c r="D11" s="65"/>
      <c r="E11" s="65"/>
      <c r="F11" s="65"/>
      <c r="G11" s="65"/>
      <c r="H11" s="65"/>
      <c r="I11" s="72"/>
      <c r="J11" s="67"/>
      <c r="K11" s="65"/>
      <c r="L11" s="69"/>
      <c r="M11" s="65"/>
      <c r="N11" s="65"/>
      <c r="O11" s="65"/>
      <c r="P11" s="65"/>
      <c r="Q11" s="65"/>
      <c r="R11" s="65"/>
      <c r="S11" s="65"/>
      <c r="T11" s="70"/>
      <c r="U11" s="57"/>
      <c r="V11" s="50"/>
    </row>
    <row r="12" spans="1:22" ht="110.25" x14ac:dyDescent="2.0499999999999998">
      <c r="A12" s="73"/>
      <c r="B12" s="228" t="s">
        <v>43</v>
      </c>
      <c r="C12" s="229"/>
      <c r="D12" s="229"/>
      <c r="E12" s="229"/>
      <c r="F12" s="229"/>
      <c r="G12" s="229"/>
      <c r="H12" s="229"/>
      <c r="I12" s="70">
        <v>23.82</v>
      </c>
      <c r="J12" s="67"/>
      <c r="K12" s="68"/>
      <c r="L12" s="228" t="s">
        <v>46</v>
      </c>
      <c r="M12" s="229"/>
      <c r="N12" s="229"/>
      <c r="O12" s="229"/>
      <c r="P12" s="229"/>
      <c r="Q12" s="229"/>
      <c r="R12" s="229"/>
      <c r="S12" s="229"/>
      <c r="T12" s="70">
        <v>40.15</v>
      </c>
      <c r="U12" s="57"/>
      <c r="V12" s="50"/>
    </row>
    <row r="13" spans="1:22" ht="110.25" x14ac:dyDescent="2.0499999999999998">
      <c r="A13" s="73"/>
      <c r="B13" s="71"/>
      <c r="C13" s="65"/>
      <c r="D13" s="65"/>
      <c r="E13" s="65"/>
      <c r="F13" s="65"/>
      <c r="G13" s="65"/>
      <c r="H13" s="65"/>
      <c r="I13" s="70"/>
      <c r="J13" s="67"/>
      <c r="K13" s="65"/>
      <c r="L13" s="71"/>
      <c r="M13" s="191"/>
      <c r="N13" s="65"/>
      <c r="O13" s="65"/>
      <c r="P13" s="65"/>
      <c r="Q13" s="65"/>
      <c r="R13" s="65"/>
      <c r="S13" s="65"/>
      <c r="T13" s="70"/>
      <c r="U13" s="57"/>
      <c r="V13" s="50"/>
    </row>
    <row r="14" spans="1:22" ht="110.25" x14ac:dyDescent="2.0499999999999998">
      <c r="A14" s="50"/>
      <c r="B14" s="228" t="s">
        <v>69</v>
      </c>
      <c r="C14" s="229"/>
      <c r="D14" s="229"/>
      <c r="E14" s="229"/>
      <c r="F14" s="229"/>
      <c r="G14" s="229"/>
      <c r="H14" s="229"/>
      <c r="I14" s="70">
        <v>39.07</v>
      </c>
      <c r="J14" s="70">
        <v>42.52</v>
      </c>
      <c r="K14" s="65"/>
      <c r="L14" s="228" t="s">
        <v>71</v>
      </c>
      <c r="M14" s="229"/>
      <c r="N14" s="229"/>
      <c r="O14" s="229"/>
      <c r="P14" s="229"/>
      <c r="Q14" s="229"/>
      <c r="R14" s="229"/>
      <c r="S14" s="229"/>
      <c r="T14" s="70">
        <v>39.950000000000003</v>
      </c>
      <c r="U14" s="50"/>
      <c r="V14" s="50"/>
    </row>
    <row r="15" spans="1:22" ht="110.25" x14ac:dyDescent="2.0499999999999998">
      <c r="A15" s="50"/>
      <c r="B15" s="230"/>
      <c r="C15" s="231"/>
      <c r="D15" s="231"/>
      <c r="E15" s="231"/>
      <c r="F15" s="231"/>
      <c r="G15" s="231"/>
      <c r="H15" s="231"/>
      <c r="I15" s="70"/>
      <c r="J15" s="67"/>
      <c r="K15" s="65"/>
      <c r="L15" s="51"/>
      <c r="M15" s="191"/>
      <c r="N15" s="191"/>
      <c r="O15" s="191"/>
      <c r="P15" s="191"/>
      <c r="Q15" s="191"/>
      <c r="R15" s="191"/>
      <c r="S15" s="191"/>
      <c r="T15" s="74"/>
      <c r="U15" s="50"/>
      <c r="V15" s="50"/>
    </row>
    <row r="16" spans="1:22" ht="110.25" x14ac:dyDescent="2.0499999999999998">
      <c r="A16" s="50"/>
      <c r="B16" s="228" t="s">
        <v>66</v>
      </c>
      <c r="C16" s="229"/>
      <c r="D16" s="229"/>
      <c r="E16" s="229"/>
      <c r="F16" s="229"/>
      <c r="G16" s="229"/>
      <c r="H16" s="229"/>
      <c r="I16" s="70">
        <v>19.75</v>
      </c>
      <c r="J16" s="70">
        <v>73.42</v>
      </c>
      <c r="K16" s="75"/>
      <c r="L16" s="228" t="s">
        <v>41</v>
      </c>
      <c r="M16" s="229"/>
      <c r="N16" s="229"/>
      <c r="O16" s="229"/>
      <c r="P16" s="229"/>
      <c r="Q16" s="229"/>
      <c r="R16" s="229"/>
      <c r="S16" s="229"/>
      <c r="T16" s="70">
        <v>22.48</v>
      </c>
      <c r="U16" s="50"/>
      <c r="V16" s="50"/>
    </row>
    <row r="17" spans="1:22" ht="110.25" x14ac:dyDescent="2.0499999999999998">
      <c r="A17" s="50"/>
      <c r="B17" s="230"/>
      <c r="C17" s="231"/>
      <c r="D17" s="231"/>
      <c r="E17" s="231"/>
      <c r="F17" s="231"/>
      <c r="G17" s="231"/>
      <c r="H17" s="231"/>
      <c r="I17" s="70"/>
      <c r="J17" s="75"/>
      <c r="K17" s="75"/>
      <c r="L17" s="129"/>
      <c r="T17" s="70"/>
      <c r="U17" s="50"/>
      <c r="V17" s="50"/>
    </row>
    <row r="18" spans="1:22" ht="110.25" x14ac:dyDescent="2.0499999999999998">
      <c r="A18" s="50"/>
      <c r="B18" s="228" t="s">
        <v>27</v>
      </c>
      <c r="C18" s="229"/>
      <c r="D18" s="229"/>
      <c r="E18" s="229"/>
      <c r="F18" s="229"/>
      <c r="G18" s="229"/>
      <c r="H18" s="229"/>
      <c r="I18" s="190">
        <v>14.57</v>
      </c>
      <c r="J18" s="75"/>
      <c r="K18" s="75"/>
      <c r="L18" s="228" t="s">
        <v>72</v>
      </c>
      <c r="M18" s="229"/>
      <c r="N18" s="229"/>
      <c r="O18" s="229"/>
      <c r="P18" s="229"/>
      <c r="Q18" s="229"/>
      <c r="R18" s="229"/>
      <c r="S18" s="229"/>
      <c r="T18" s="70">
        <v>31.9</v>
      </c>
      <c r="U18" s="50"/>
      <c r="V18" s="50"/>
    </row>
    <row r="19" spans="1:22" ht="110.25" x14ac:dyDescent="2.0499999999999998">
      <c r="A19" s="50"/>
      <c r="B19" s="69"/>
      <c r="C19" s="65"/>
      <c r="D19" s="65"/>
      <c r="E19" s="65"/>
      <c r="F19" s="65"/>
      <c r="G19" s="65"/>
      <c r="H19" s="65"/>
      <c r="I19" s="70"/>
      <c r="J19" s="75"/>
      <c r="K19" s="65"/>
      <c r="L19" s="69"/>
      <c r="M19" s="65"/>
      <c r="N19" s="65"/>
      <c r="O19" s="65"/>
      <c r="P19" s="65"/>
      <c r="Q19" s="65"/>
      <c r="R19" s="65"/>
      <c r="S19" s="57"/>
      <c r="T19" s="70"/>
      <c r="U19" s="50"/>
      <c r="V19" s="50"/>
    </row>
    <row r="20" spans="1:22" ht="147.75" customHeight="1" x14ac:dyDescent="2.0499999999999998">
      <c r="A20" s="50"/>
      <c r="B20" s="228" t="s">
        <v>40</v>
      </c>
      <c r="C20" s="229"/>
      <c r="D20" s="229"/>
      <c r="E20" s="229"/>
      <c r="F20" s="229"/>
      <c r="G20" s="229"/>
      <c r="H20" s="229"/>
      <c r="I20" s="190">
        <v>11.53</v>
      </c>
      <c r="J20" s="75"/>
      <c r="K20" s="65"/>
      <c r="L20" s="228"/>
      <c r="M20" s="229"/>
      <c r="N20" s="229"/>
      <c r="O20" s="229"/>
      <c r="P20" s="229"/>
      <c r="Q20" s="229"/>
      <c r="R20" s="229"/>
      <c r="S20" s="229"/>
      <c r="T20" s="70"/>
      <c r="U20" s="50"/>
      <c r="V20" s="50"/>
    </row>
    <row r="21" spans="1:22" ht="110.25" x14ac:dyDescent="2.0499999999999998">
      <c r="A21" s="50"/>
      <c r="B21" s="69"/>
      <c r="C21" s="65"/>
      <c r="D21" s="65"/>
      <c r="E21" s="65"/>
      <c r="F21" s="65"/>
      <c r="G21" s="65"/>
      <c r="H21" s="65"/>
      <c r="I21" s="70"/>
      <c r="J21" s="75"/>
      <c r="K21" s="65"/>
      <c r="L21" s="69"/>
      <c r="M21" s="65"/>
      <c r="N21" s="65"/>
      <c r="O21" s="65"/>
      <c r="P21" s="65"/>
      <c r="Q21" s="65"/>
      <c r="R21" s="65"/>
      <c r="T21" s="195"/>
      <c r="U21" s="50"/>
      <c r="V21" s="50"/>
    </row>
    <row r="22" spans="1:22" ht="110.25" x14ac:dyDescent="2.0499999999999998">
      <c r="A22" s="50"/>
      <c r="B22" s="193"/>
      <c r="C22" s="119"/>
      <c r="D22" s="119"/>
      <c r="E22" s="119"/>
      <c r="F22" s="119"/>
      <c r="G22" s="119"/>
      <c r="H22" s="119"/>
      <c r="I22" s="194"/>
      <c r="J22" s="120"/>
      <c r="K22" s="121"/>
      <c r="L22" s="122"/>
      <c r="M22" s="121"/>
      <c r="N22" s="121"/>
      <c r="O22" s="121"/>
      <c r="P22" s="121"/>
      <c r="Q22" s="121"/>
      <c r="R22" s="121"/>
      <c r="S22" s="123"/>
      <c r="T22" s="124"/>
      <c r="U22" s="50"/>
      <c r="V22" s="50"/>
    </row>
    <row r="23" spans="1:22" x14ac:dyDescent="0.25">
      <c r="A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U23" s="50"/>
    </row>
    <row r="24" spans="1:22" x14ac:dyDescent="0.25">
      <c r="T24" s="7"/>
      <c r="U24" s="7"/>
    </row>
    <row r="25" spans="1:22" x14ac:dyDescent="0.25">
      <c r="T25" s="7"/>
      <c r="U25" s="7"/>
    </row>
    <row r="26" spans="1:22" x14ac:dyDescent="0.25">
      <c r="T26" s="7"/>
      <c r="U26" s="7"/>
    </row>
  </sheetData>
  <mergeCells count="20">
    <mergeCell ref="A1:T3"/>
    <mergeCell ref="B5:D5"/>
    <mergeCell ref="B6:H6"/>
    <mergeCell ref="B8:H8"/>
    <mergeCell ref="B10:H10"/>
    <mergeCell ref="L6:S6"/>
    <mergeCell ref="L8:S8"/>
    <mergeCell ref="L20:S20"/>
    <mergeCell ref="L14:S14"/>
    <mergeCell ref="B15:H15"/>
    <mergeCell ref="B17:H17"/>
    <mergeCell ref="L10:S10"/>
    <mergeCell ref="L12:S12"/>
    <mergeCell ref="L16:S16"/>
    <mergeCell ref="B20:H20"/>
    <mergeCell ref="B18:H18"/>
    <mergeCell ref="L18:S18"/>
    <mergeCell ref="B12:H12"/>
    <mergeCell ref="B16:H16"/>
    <mergeCell ref="B14:H14"/>
  </mergeCells>
  <pageMargins left="0.7" right="0.7" top="0.75" bottom="0.75" header="0.3" footer="0.3"/>
  <pageSetup paperSize="9" scale="21" orientation="landscape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22"/>
  <sheetViews>
    <sheetView tabSelected="1" zoomScale="10" zoomScaleNormal="10" workbookViewId="0">
      <selection activeCell="AV103" sqref="AV103"/>
    </sheetView>
  </sheetViews>
  <sheetFormatPr defaultRowHeight="15" x14ac:dyDescent="0.25"/>
  <cols>
    <col min="2" max="2" width="63.42578125" customWidth="1"/>
    <col min="7" max="7" width="57.140625" customWidth="1"/>
    <col min="8" max="8" width="82.85546875" customWidth="1"/>
    <col min="9" max="9" width="193" customWidth="1"/>
    <col min="10" max="10" width="10" customWidth="1"/>
    <col min="11" max="17" width="35.7109375"/>
    <col min="18" max="18" width="68.5703125" customWidth="1"/>
    <col min="19" max="19" width="35.7109375"/>
    <col min="20" max="20" width="81.5703125" bestFit="1" customWidth="1"/>
  </cols>
  <sheetData>
    <row r="1" spans="1:20" ht="87" customHeight="1" thickTop="1" x14ac:dyDescent="0.25">
      <c r="A1" s="240" t="s">
        <v>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2"/>
    </row>
    <row r="2" spans="1:20" ht="197.25" customHeight="1" x14ac:dyDescent="0.25">
      <c r="A2" s="243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</row>
    <row r="3" spans="1:20" x14ac:dyDescent="0.25">
      <c r="A3" s="243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5"/>
    </row>
    <row r="4" spans="1:20" x14ac:dyDescent="0.25">
      <c r="A4" s="243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</row>
    <row r="5" spans="1:20" ht="26.25" x14ac:dyDescent="0.4">
      <c r="A5" s="76"/>
      <c r="B5" s="239"/>
      <c r="C5" s="239"/>
      <c r="D5" s="239"/>
      <c r="E5" s="57"/>
      <c r="F5" s="57"/>
      <c r="G5" s="57"/>
      <c r="H5" s="57"/>
      <c r="I5" s="77"/>
      <c r="J5" s="56"/>
      <c r="K5" s="57"/>
      <c r="L5" s="57"/>
      <c r="M5" s="57"/>
      <c r="N5" s="57"/>
      <c r="O5" s="57"/>
      <c r="P5" s="57"/>
      <c r="Q5" s="57"/>
      <c r="R5" s="57"/>
      <c r="S5" s="57"/>
      <c r="T5" s="78"/>
    </row>
    <row r="6" spans="1:20" ht="128.25" x14ac:dyDescent="2.35">
      <c r="A6" s="246" t="s">
        <v>11</v>
      </c>
      <c r="B6" s="247"/>
      <c r="C6" s="247"/>
      <c r="D6" s="247"/>
      <c r="E6" s="247"/>
      <c r="F6" s="247"/>
      <c r="G6" s="247"/>
      <c r="H6" s="247"/>
      <c r="I6" s="79">
        <v>22.9</v>
      </c>
      <c r="J6" s="56"/>
      <c r="K6" s="247" t="s">
        <v>30</v>
      </c>
      <c r="L6" s="247"/>
      <c r="M6" s="247"/>
      <c r="N6" s="247"/>
      <c r="O6" s="247"/>
      <c r="P6" s="247"/>
      <c r="Q6" s="247"/>
      <c r="R6" s="247"/>
      <c r="S6" s="247"/>
      <c r="T6" s="80">
        <v>14.28</v>
      </c>
    </row>
    <row r="7" spans="1:20" ht="128.25" x14ac:dyDescent="2.35">
      <c r="A7" s="81"/>
      <c r="B7" s="82"/>
      <c r="C7" s="82"/>
      <c r="D7" s="82"/>
      <c r="E7" s="83"/>
      <c r="F7" s="83"/>
      <c r="G7" s="83"/>
      <c r="H7" s="84"/>
      <c r="I7" s="79"/>
      <c r="J7" s="56"/>
      <c r="K7" s="85"/>
      <c r="L7" s="86"/>
      <c r="M7" s="87"/>
      <c r="N7" s="87"/>
      <c r="O7" s="87"/>
      <c r="P7" s="83"/>
      <c r="Q7" s="83"/>
      <c r="R7" s="83"/>
      <c r="S7" s="84"/>
      <c r="T7" s="80"/>
    </row>
    <row r="8" spans="1:20" ht="128.25" x14ac:dyDescent="2.35">
      <c r="A8" s="246" t="s">
        <v>13</v>
      </c>
      <c r="B8" s="247"/>
      <c r="C8" s="247"/>
      <c r="D8" s="247"/>
      <c r="E8" s="247"/>
      <c r="F8" s="247"/>
      <c r="G8" s="247"/>
      <c r="H8" s="247"/>
      <c r="I8" s="79">
        <v>22.9</v>
      </c>
      <c r="J8" s="56"/>
      <c r="K8" s="247" t="s">
        <v>7</v>
      </c>
      <c r="L8" s="247"/>
      <c r="M8" s="247"/>
      <c r="N8" s="247"/>
      <c r="O8" s="247"/>
      <c r="P8" s="247"/>
      <c r="Q8" s="247"/>
      <c r="R8" s="247"/>
      <c r="S8" s="247"/>
      <c r="T8" s="80">
        <v>4.13</v>
      </c>
    </row>
    <row r="9" spans="1:20" ht="128.25" x14ac:dyDescent="2.35">
      <c r="A9" s="81"/>
      <c r="B9" s="87"/>
      <c r="C9" s="87"/>
      <c r="D9" s="87"/>
      <c r="E9" s="83"/>
      <c r="F9" s="83"/>
      <c r="G9" s="83"/>
      <c r="H9" s="84"/>
      <c r="I9" s="79"/>
      <c r="J9" s="56"/>
      <c r="K9" s="85"/>
      <c r="L9" s="86"/>
      <c r="M9" s="87"/>
      <c r="N9" s="87"/>
      <c r="O9" s="87"/>
      <c r="P9" s="83"/>
      <c r="Q9" s="83"/>
      <c r="R9" s="83"/>
      <c r="S9" s="84"/>
      <c r="T9" s="80" t="s">
        <v>31</v>
      </c>
    </row>
    <row r="10" spans="1:20" ht="128.25" x14ac:dyDescent="2.35">
      <c r="A10" s="246" t="s">
        <v>10</v>
      </c>
      <c r="B10" s="247"/>
      <c r="C10" s="247"/>
      <c r="D10" s="247"/>
      <c r="E10" s="247"/>
      <c r="F10" s="247"/>
      <c r="G10" s="247"/>
      <c r="H10" s="247"/>
      <c r="I10" s="79">
        <v>22.9</v>
      </c>
      <c r="J10" s="56"/>
      <c r="K10" s="247" t="s">
        <v>17</v>
      </c>
      <c r="L10" s="247"/>
      <c r="M10" s="247"/>
      <c r="N10" s="247"/>
      <c r="O10" s="247"/>
      <c r="P10" s="247"/>
      <c r="Q10" s="247"/>
      <c r="R10" s="247"/>
      <c r="S10" s="247"/>
      <c r="T10" s="80">
        <v>10.95</v>
      </c>
    </row>
    <row r="11" spans="1:20" ht="128.25" x14ac:dyDescent="2.35">
      <c r="A11" s="81"/>
      <c r="B11" s="249"/>
      <c r="C11" s="249"/>
      <c r="D11" s="249"/>
      <c r="E11" s="83"/>
      <c r="F11" s="83"/>
      <c r="G11" s="83"/>
      <c r="H11" s="84"/>
      <c r="I11" s="79"/>
      <c r="J11" s="56"/>
      <c r="K11" s="85"/>
      <c r="L11" s="86"/>
      <c r="M11" s="87"/>
      <c r="N11" s="87"/>
      <c r="O11" s="87"/>
      <c r="P11" s="83"/>
      <c r="Q11" s="83"/>
      <c r="R11" s="83"/>
      <c r="S11" s="84"/>
      <c r="T11" s="80" t="s">
        <v>0</v>
      </c>
    </row>
    <row r="12" spans="1:20" ht="128.25" x14ac:dyDescent="2.35">
      <c r="A12" s="246" t="s">
        <v>8</v>
      </c>
      <c r="B12" s="247"/>
      <c r="C12" s="247"/>
      <c r="D12" s="247"/>
      <c r="E12" s="247"/>
      <c r="F12" s="247"/>
      <c r="G12" s="247"/>
      <c r="H12" s="247"/>
      <c r="I12" s="80">
        <v>10.26</v>
      </c>
      <c r="J12" s="56"/>
      <c r="K12" s="247" t="s">
        <v>32</v>
      </c>
      <c r="L12" s="247"/>
      <c r="M12" s="247"/>
      <c r="N12" s="247"/>
      <c r="O12" s="247"/>
      <c r="P12" s="247"/>
      <c r="Q12" s="247"/>
      <c r="R12" s="247"/>
      <c r="S12" s="247"/>
      <c r="T12" s="80">
        <v>8.36</v>
      </c>
    </row>
    <row r="13" spans="1:20" ht="128.25" x14ac:dyDescent="2.35">
      <c r="A13" s="81"/>
      <c r="B13" s="249"/>
      <c r="C13" s="249"/>
      <c r="D13" s="249"/>
      <c r="E13" s="83"/>
      <c r="F13" s="83"/>
      <c r="G13" s="83"/>
      <c r="H13" s="84"/>
      <c r="I13" s="79"/>
      <c r="J13" s="56"/>
      <c r="K13" s="85"/>
      <c r="L13" s="84"/>
      <c r="M13" s="87"/>
      <c r="N13" s="87"/>
      <c r="O13" s="87"/>
      <c r="P13" s="83"/>
      <c r="Q13" s="83"/>
      <c r="R13" s="83"/>
      <c r="S13" s="84"/>
      <c r="T13" s="80"/>
    </row>
    <row r="14" spans="1:20" ht="128.25" x14ac:dyDescent="2.35">
      <c r="A14" s="246" t="s">
        <v>16</v>
      </c>
      <c r="B14" s="247"/>
      <c r="C14" s="247"/>
      <c r="D14" s="247"/>
      <c r="E14" s="247"/>
      <c r="F14" s="247"/>
      <c r="G14" s="247"/>
      <c r="H14" s="247"/>
      <c r="I14" s="79">
        <v>30.47</v>
      </c>
      <c r="J14" s="56"/>
      <c r="K14" s="248" t="s">
        <v>34</v>
      </c>
      <c r="L14" s="248"/>
      <c r="M14" s="248"/>
      <c r="N14" s="248"/>
      <c r="O14" s="248"/>
      <c r="P14" s="248"/>
      <c r="Q14" s="248"/>
      <c r="R14" s="248"/>
      <c r="S14" s="248"/>
      <c r="T14" s="80">
        <v>11.53</v>
      </c>
    </row>
    <row r="15" spans="1:20" ht="128.25" x14ac:dyDescent="2.35">
      <c r="A15" s="81"/>
      <c r="B15" s="87"/>
      <c r="C15" s="87"/>
      <c r="D15" s="87"/>
      <c r="E15" s="83"/>
      <c r="F15" s="83"/>
      <c r="G15" s="83"/>
      <c r="H15" s="84"/>
      <c r="I15" s="79"/>
      <c r="J15" s="56"/>
      <c r="K15" s="85"/>
      <c r="L15" s="86"/>
      <c r="M15" s="85"/>
      <c r="N15" s="85"/>
      <c r="O15" s="85"/>
      <c r="P15" s="85"/>
      <c r="Q15" s="85"/>
      <c r="R15" s="85"/>
      <c r="S15" s="85"/>
      <c r="T15" s="78" t="s">
        <v>33</v>
      </c>
    </row>
    <row r="16" spans="1:20" ht="128.25" x14ac:dyDescent="2.35">
      <c r="A16" s="246" t="s">
        <v>15</v>
      </c>
      <c r="B16" s="247"/>
      <c r="C16" s="247"/>
      <c r="D16" s="247"/>
      <c r="E16" s="247"/>
      <c r="F16" s="247"/>
      <c r="G16" s="247"/>
      <c r="H16" s="247"/>
      <c r="I16" s="79">
        <v>30.47</v>
      </c>
      <c r="J16" s="56"/>
      <c r="S16" t="s">
        <v>0</v>
      </c>
      <c r="T16" s="80"/>
    </row>
    <row r="17" spans="1:20" ht="128.25" x14ac:dyDescent="2.35">
      <c r="A17" s="131"/>
      <c r="B17" s="132"/>
      <c r="C17" s="132"/>
      <c r="D17" s="132"/>
      <c r="E17" s="132"/>
      <c r="F17" s="132"/>
      <c r="G17" s="132"/>
      <c r="H17" s="132"/>
      <c r="I17" s="79"/>
      <c r="J17" s="56"/>
      <c r="K17" s="133"/>
      <c r="L17" s="133"/>
      <c r="M17" s="133"/>
      <c r="N17" s="133"/>
      <c r="O17" s="133"/>
      <c r="P17" s="133"/>
      <c r="Q17" s="133"/>
      <c r="R17" s="133"/>
      <c r="S17" s="133"/>
      <c r="T17" s="80"/>
    </row>
    <row r="18" spans="1:20" ht="128.25" x14ac:dyDescent="2.35">
      <c r="A18" s="246"/>
      <c r="B18" s="247"/>
      <c r="C18" s="247"/>
      <c r="D18" s="247"/>
      <c r="E18" s="247"/>
      <c r="F18" s="247"/>
      <c r="G18" s="247"/>
      <c r="H18" s="247"/>
      <c r="I18" s="79"/>
      <c r="J18" s="56"/>
      <c r="K18" s="252" t="s">
        <v>2</v>
      </c>
      <c r="L18" s="252"/>
      <c r="M18" s="252"/>
      <c r="N18" s="252"/>
      <c r="O18" s="252"/>
      <c r="P18" s="252"/>
      <c r="Q18" s="252"/>
      <c r="R18" s="252"/>
      <c r="S18" s="252"/>
      <c r="T18" s="253"/>
    </row>
    <row r="19" spans="1:20" ht="128.25" x14ac:dyDescent="2.35">
      <c r="A19" s="81"/>
      <c r="B19" s="87"/>
      <c r="C19" s="87"/>
      <c r="D19" s="87"/>
      <c r="E19" s="83"/>
      <c r="F19" s="83"/>
      <c r="G19" s="83"/>
      <c r="H19" s="84"/>
      <c r="I19" s="79"/>
      <c r="J19" s="56"/>
      <c r="K19" s="252"/>
      <c r="L19" s="252"/>
      <c r="M19" s="252"/>
      <c r="N19" s="252"/>
      <c r="O19" s="252"/>
      <c r="P19" s="252"/>
      <c r="Q19" s="252"/>
      <c r="R19" s="252"/>
      <c r="S19" s="252"/>
      <c r="T19" s="253"/>
    </row>
    <row r="20" spans="1:20" ht="128.25" x14ac:dyDescent="2.35">
      <c r="A20" s="246"/>
      <c r="B20" s="247"/>
      <c r="C20" s="247"/>
      <c r="D20" s="247"/>
      <c r="E20" s="247"/>
      <c r="F20" s="247"/>
      <c r="G20" s="247"/>
      <c r="H20" s="247"/>
      <c r="I20" s="79"/>
      <c r="J20" s="56"/>
      <c r="K20" s="247" t="str">
        <f>IF('SELF MENÜ (5)'!E7="", "", 'SELF MENÜ (5)'!E7)</f>
        <v>ROL EKMEK</v>
      </c>
      <c r="L20" s="247"/>
      <c r="M20" s="247"/>
      <c r="N20" s="247"/>
      <c r="O20" s="247"/>
      <c r="P20" s="247"/>
      <c r="Q20" s="247"/>
      <c r="R20" s="247"/>
      <c r="S20" s="87"/>
      <c r="T20" s="80">
        <f>'SELF MENÜ (5)'!F7</f>
        <v>3.59</v>
      </c>
    </row>
    <row r="21" spans="1:20" ht="129" thickBot="1" x14ac:dyDescent="2.4">
      <c r="A21" s="250"/>
      <c r="B21" s="251"/>
      <c r="C21" s="251"/>
      <c r="D21" s="251"/>
      <c r="E21" s="251"/>
      <c r="F21" s="251"/>
      <c r="G21" s="251"/>
      <c r="H21" s="251"/>
      <c r="I21" s="88"/>
      <c r="J21" s="89"/>
      <c r="K21" s="254"/>
      <c r="L21" s="254"/>
      <c r="M21" s="254"/>
      <c r="N21" s="254"/>
      <c r="O21" s="254"/>
      <c r="P21" s="254"/>
      <c r="Q21" s="254"/>
      <c r="R21" s="254"/>
      <c r="S21" s="90"/>
      <c r="T21" s="91"/>
    </row>
    <row r="22" spans="1:20" ht="15.75" thickTop="1" x14ac:dyDescent="0.25"/>
  </sheetData>
  <mergeCells count="21">
    <mergeCell ref="A20:H20"/>
    <mergeCell ref="A21:H21"/>
    <mergeCell ref="A18:H18"/>
    <mergeCell ref="K18:T19"/>
    <mergeCell ref="K20:R20"/>
    <mergeCell ref="K21:R21"/>
    <mergeCell ref="A14:H14"/>
    <mergeCell ref="K8:S8"/>
    <mergeCell ref="A16:H16"/>
    <mergeCell ref="K14:S14"/>
    <mergeCell ref="B13:D13"/>
    <mergeCell ref="A10:H10"/>
    <mergeCell ref="K10:S10"/>
    <mergeCell ref="B11:D11"/>
    <mergeCell ref="A12:H12"/>
    <mergeCell ref="K12:S12"/>
    <mergeCell ref="A1:T4"/>
    <mergeCell ref="B5:D5"/>
    <mergeCell ref="A6:H6"/>
    <mergeCell ref="K6:S6"/>
    <mergeCell ref="A8:H8"/>
  </mergeCells>
  <pageMargins left="0.7" right="0.7" top="0.75" bottom="0.75" header="0.3" footer="0.3"/>
  <pageSetup paperSize="9" scale="14" orientation="landscape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  <pageSetUpPr fitToPage="1"/>
  </sheetPr>
  <dimension ref="A1:U48"/>
  <sheetViews>
    <sheetView zoomScale="55" zoomScaleNormal="55" workbookViewId="0">
      <selection activeCell="F20" sqref="F20"/>
    </sheetView>
  </sheetViews>
  <sheetFormatPr defaultRowHeight="15" x14ac:dyDescent="0.25"/>
  <cols>
    <col min="1" max="1" width="71" style="7" bestFit="1" customWidth="1"/>
    <col min="2" max="2" width="16.140625" style="7" customWidth="1"/>
    <col min="3" max="3" width="0.42578125" style="7" customWidth="1"/>
    <col min="4" max="4" width="2.5703125" style="7" customWidth="1"/>
    <col min="5" max="5" width="46.7109375" style="7" customWidth="1"/>
    <col min="6" max="6" width="42.28515625" style="7" customWidth="1"/>
    <col min="7" max="7" width="6.28515625" style="7" customWidth="1"/>
    <col min="8" max="16384" width="9.140625" style="7"/>
  </cols>
  <sheetData>
    <row r="1" spans="1:21" ht="15" customHeight="1" x14ac:dyDescent="0.25">
      <c r="A1" s="198" t="s">
        <v>23</v>
      </c>
      <c r="B1" s="199"/>
      <c r="C1" s="199"/>
      <c r="D1" s="199"/>
      <c r="E1" s="199"/>
      <c r="F1" s="255"/>
    </row>
    <row r="2" spans="1:21" ht="15" customHeight="1" x14ac:dyDescent="0.25">
      <c r="A2" s="200"/>
      <c r="B2" s="201"/>
      <c r="C2" s="201"/>
      <c r="D2" s="201"/>
      <c r="E2" s="201"/>
      <c r="F2" s="256"/>
    </row>
    <row r="3" spans="1:21" ht="14.25" customHeight="1" x14ac:dyDescent="0.25">
      <c r="A3" s="257">
        <f>'SELF MENÜ (5)'!A3:D3</f>
        <v>45838</v>
      </c>
      <c r="B3" s="258"/>
      <c r="C3" s="258"/>
      <c r="D3" s="259" t="s">
        <v>42</v>
      </c>
      <c r="E3" s="259"/>
      <c r="F3" s="260"/>
    </row>
    <row r="4" spans="1:21" ht="11.25" customHeight="1" thickBot="1" x14ac:dyDescent="0.3">
      <c r="A4" s="257"/>
      <c r="B4" s="258"/>
      <c r="C4" s="258"/>
      <c r="D4" s="261"/>
      <c r="E4" s="261"/>
      <c r="F4" s="262"/>
    </row>
    <row r="5" spans="1:21" ht="41.25" customHeight="1" thickTop="1" x14ac:dyDescent="0.25">
      <c r="A5" s="263" t="s">
        <v>4</v>
      </c>
      <c r="B5" s="264"/>
      <c r="C5" s="264"/>
      <c r="D5" s="264"/>
      <c r="E5" s="223" t="s">
        <v>2</v>
      </c>
      <c r="F5" s="224"/>
    </row>
    <row r="6" spans="1:21" ht="9.75" customHeight="1" x14ac:dyDescent="0.25">
      <c r="A6" s="135"/>
      <c r="B6" s="136"/>
      <c r="C6" s="11"/>
      <c r="D6" s="8"/>
      <c r="E6" s="223"/>
      <c r="F6" s="224"/>
    </row>
    <row r="7" spans="1:21" ht="34.5" customHeight="1" x14ac:dyDescent="0.5">
      <c r="A7" s="109" t="str">
        <f>IF('SELF MENÜ (5)'!A7="", "", 'SELF MENÜ (5)'!A7)</f>
        <v>EZOGELİN ÇORBASI</v>
      </c>
      <c r="B7" s="34">
        <f>IF('SELF MENÜ (5)'!B7="", "", 'SELF MENÜ (5)'!B7)</f>
        <v>17.239999999999998</v>
      </c>
      <c r="C7" s="11"/>
      <c r="D7" s="8"/>
      <c r="E7" s="6" t="s">
        <v>6</v>
      </c>
      <c r="F7" s="111">
        <v>3.59</v>
      </c>
    </row>
    <row r="8" spans="1:21" ht="24.75" customHeight="1" x14ac:dyDescent="0.5">
      <c r="A8" s="109" t="str">
        <f>IF('SELF MENÜ (5)'!A8="", "", 'SELF MENÜ (5)'!A8)</f>
        <v/>
      </c>
      <c r="B8" s="34" t="str">
        <f>IF('SELF MENÜ (5)'!B8="", "", 'SELF MENÜ (5)'!B8)</f>
        <v/>
      </c>
      <c r="C8" s="11"/>
      <c r="D8" s="8"/>
      <c r="E8" s="6"/>
      <c r="F8" s="17"/>
    </row>
    <row r="9" spans="1:21" ht="27" x14ac:dyDescent="0.5">
      <c r="A9" s="109" t="str">
        <f>IF('SELF MENÜ (5)'!A9="", "", 'SELF MENÜ (5)'!A9)</f>
        <v/>
      </c>
      <c r="B9" s="34" t="str">
        <f>IF('SELF MENÜ (5)'!B9="", "", 'SELF MENÜ (5)'!B9)</f>
        <v/>
      </c>
      <c r="C9" s="11"/>
      <c r="D9" s="8"/>
      <c r="E9" s="6"/>
      <c r="F9" s="17"/>
    </row>
    <row r="10" spans="1:21" ht="15" customHeight="1" x14ac:dyDescent="0.5">
      <c r="A10" s="5"/>
      <c r="B10" s="27"/>
      <c r="C10" s="11"/>
      <c r="D10" s="8"/>
      <c r="E10" s="207" t="s">
        <v>1</v>
      </c>
      <c r="F10" s="210"/>
    </row>
    <row r="11" spans="1:21" ht="15" customHeight="1" x14ac:dyDescent="0.25">
      <c r="A11" s="206" t="s">
        <v>5</v>
      </c>
      <c r="B11" s="207"/>
      <c r="C11" s="11"/>
      <c r="D11" s="8"/>
      <c r="E11" s="207"/>
      <c r="F11" s="210"/>
    </row>
    <row r="12" spans="1:21" s="137" customFormat="1" ht="33.75" customHeight="1" x14ac:dyDescent="0.5">
      <c r="A12" s="206"/>
      <c r="B12" s="207"/>
      <c r="C12" s="11"/>
      <c r="D12" s="8"/>
      <c r="E12" s="16" t="s">
        <v>12</v>
      </c>
      <c r="F12" s="101">
        <v>10.26</v>
      </c>
      <c r="M12" s="7"/>
      <c r="N12" s="7"/>
      <c r="O12" s="7"/>
      <c r="P12" s="7"/>
      <c r="Q12" s="7"/>
      <c r="R12" s="7"/>
      <c r="S12" s="7"/>
      <c r="T12" s="7"/>
      <c r="U12" s="7"/>
    </row>
    <row r="13" spans="1:21" ht="33" customHeight="1" x14ac:dyDescent="0.5">
      <c r="A13" s="109" t="str">
        <f>IF('SELF MENÜ (5)'!A13="","",'SELF MENÜ (5)'!A13)</f>
        <v>BAMYA YEMEĞİ</v>
      </c>
      <c r="B13" s="28">
        <f>IF('SELF MENÜ (5)'!B13="","",'SELF MENÜ (5)'!B13)</f>
        <v>64.25</v>
      </c>
      <c r="C13" s="11"/>
      <c r="D13" s="8"/>
      <c r="E13" s="6" t="s">
        <v>11</v>
      </c>
      <c r="F13" s="100">
        <v>22.9</v>
      </c>
    </row>
    <row r="14" spans="1:21" ht="28.5" customHeight="1" x14ac:dyDescent="0.5">
      <c r="A14" s="109" t="str">
        <f>IF('SELF MENÜ (5)'!A14="","",'SELF MENÜ (5)'!A14)</f>
        <v>TAVUK BUT ROTİ</v>
      </c>
      <c r="B14" s="28">
        <f>IF('SELF MENÜ (5)'!B14="","",'SELF MENÜ (5)'!B14)</f>
        <v>58.3</v>
      </c>
      <c r="C14" s="11"/>
      <c r="D14" s="8"/>
      <c r="E14" s="6" t="s">
        <v>13</v>
      </c>
      <c r="F14" s="101">
        <v>22.9</v>
      </c>
    </row>
    <row r="15" spans="1:21" ht="27.75" customHeight="1" x14ac:dyDescent="0.5">
      <c r="A15" s="109" t="str">
        <f>IF('SELF MENÜ (5)'!A15="","",'SELF MENÜ (5)'!A15)</f>
        <v>HASANPAŞA KÖFTE</v>
      </c>
      <c r="B15" s="28">
        <f>IF('SELF MENÜ (5)'!B15="","",'SELF MENÜ (5)'!B15)</f>
        <v>161.49</v>
      </c>
      <c r="C15" s="11"/>
      <c r="D15" s="8"/>
      <c r="E15" s="6" t="s">
        <v>10</v>
      </c>
      <c r="F15" s="100">
        <v>22.9</v>
      </c>
    </row>
    <row r="16" spans="1:21" ht="27" x14ac:dyDescent="0.5">
      <c r="A16" s="109" t="str">
        <f>IF('SELF MENÜ (5)'!A16="","",'SELF MENÜ (5)'!A16)</f>
        <v/>
      </c>
      <c r="B16" s="28" t="str">
        <f>IF('SELF MENÜ (5)'!B16="","",'SELF MENÜ (5)'!B16)</f>
        <v/>
      </c>
      <c r="C16" s="11"/>
      <c r="D16" s="8"/>
      <c r="E16" s="6" t="s">
        <v>14</v>
      </c>
      <c r="F16" s="100">
        <v>22.9</v>
      </c>
    </row>
    <row r="17" spans="1:7" ht="24.75" customHeight="1" x14ac:dyDescent="0.5">
      <c r="A17" s="10"/>
      <c r="B17" s="28" t="str">
        <f>IF('SELF MENÜ (5)'!B17="","",'SELF MENÜ (5)'!B17)</f>
        <v/>
      </c>
      <c r="C17" s="11"/>
      <c r="D17" s="8"/>
      <c r="E17" s="6" t="s">
        <v>15</v>
      </c>
      <c r="F17" s="108">
        <v>30.47</v>
      </c>
    </row>
    <row r="18" spans="1:7" ht="24.75" customHeight="1" x14ac:dyDescent="0.5">
      <c r="A18" s="206" t="s">
        <v>3</v>
      </c>
      <c r="B18" s="207"/>
      <c r="C18" s="11"/>
      <c r="D18" s="8"/>
      <c r="E18" s="6" t="s">
        <v>17</v>
      </c>
      <c r="F18" s="101">
        <v>10.95</v>
      </c>
    </row>
    <row r="19" spans="1:7" ht="26.25" customHeight="1" x14ac:dyDescent="0.5">
      <c r="A19" s="206"/>
      <c r="B19" s="207"/>
      <c r="C19" s="11"/>
      <c r="D19" s="8"/>
      <c r="E19" s="6" t="s">
        <v>18</v>
      </c>
      <c r="F19" s="99">
        <v>8.36</v>
      </c>
    </row>
    <row r="20" spans="1:7" ht="24.75" customHeight="1" x14ac:dyDescent="0.5">
      <c r="A20" s="10" t="str">
        <f>IF('SELF MENÜ (5)'!A20="", "", 'SELF MENÜ (5)'!A20)</f>
        <v>TEL ŞEHRİYELİ PİRİNÇ PİLAVI</v>
      </c>
      <c r="B20" s="29">
        <f>IF('SELF MENÜ (5)'!B20="","",'SELF MENÜ (5)'!B20)</f>
        <v>14.53</v>
      </c>
      <c r="C20" s="11"/>
      <c r="D20" s="8"/>
      <c r="E20" s="6" t="s">
        <v>16</v>
      </c>
      <c r="F20" s="100">
        <v>30.47</v>
      </c>
    </row>
    <row r="21" spans="1:7" ht="24.75" customHeight="1" x14ac:dyDescent="0.5">
      <c r="A21" s="10" t="str">
        <f>IF('SELF MENÜ (5)'!A21="","",'SELF MENÜ (5)'!A21)</f>
        <v/>
      </c>
      <c r="B21" s="29" t="str">
        <f>IF('SELF MENÜ (5)'!B21="","",'SELF MENÜ (5)'!B21)</f>
        <v/>
      </c>
      <c r="C21" s="11"/>
      <c r="D21" s="8"/>
      <c r="E21" s="6" t="s">
        <v>19</v>
      </c>
      <c r="F21" s="100">
        <v>14.28</v>
      </c>
    </row>
    <row r="22" spans="1:7" ht="24.75" customHeight="1" x14ac:dyDescent="0.5">
      <c r="A22" s="5"/>
      <c r="B22" s="25"/>
      <c r="C22" s="11"/>
      <c r="D22" s="8"/>
      <c r="E22" s="6" t="s">
        <v>20</v>
      </c>
      <c r="F22" s="100">
        <v>4.13</v>
      </c>
    </row>
    <row r="23" spans="1:7" ht="24.75" customHeight="1" x14ac:dyDescent="0.5">
      <c r="A23" s="5"/>
      <c r="B23" s="25"/>
      <c r="C23" s="11"/>
      <c r="D23" s="8"/>
      <c r="E23" s="6"/>
      <c r="F23" s="100"/>
    </row>
    <row r="24" spans="1:7" ht="24" customHeight="1" x14ac:dyDescent="0.5">
      <c r="A24" s="206" t="s">
        <v>22</v>
      </c>
      <c r="B24" s="207"/>
      <c r="C24" s="11"/>
      <c r="D24" s="8"/>
      <c r="E24" s="6"/>
      <c r="F24" s="23"/>
    </row>
    <row r="25" spans="1:7" ht="24.75" customHeight="1" x14ac:dyDescent="0.5">
      <c r="A25" s="206"/>
      <c r="B25" s="207"/>
      <c r="C25" s="11"/>
      <c r="D25" s="8"/>
      <c r="E25" s="6"/>
      <c r="F25" s="23"/>
    </row>
    <row r="26" spans="1:7" ht="24.75" customHeight="1" x14ac:dyDescent="0.5">
      <c r="A26" s="10" t="str">
        <f>IF('SELF MENÜ (5)'!A26="", "", 'SELF MENÜ (5)'!A26)</f>
        <v>MEVSİM SALATA</v>
      </c>
      <c r="B26" s="26">
        <f>IF('SELF MENÜ (5)'!B26="", "", 'SELF MENÜ (5)'!B26)</f>
        <v>27.19</v>
      </c>
      <c r="C26" s="11"/>
      <c r="D26" s="8"/>
      <c r="F26" s="23"/>
    </row>
    <row r="27" spans="1:7" ht="21.75" customHeight="1" x14ac:dyDescent="0.5">
      <c r="A27" s="5"/>
      <c r="B27" s="26"/>
      <c r="C27" s="11"/>
      <c r="D27" s="8"/>
      <c r="E27" s="207" t="s">
        <v>9</v>
      </c>
      <c r="F27" s="210"/>
    </row>
    <row r="28" spans="1:7" ht="26.25" customHeight="1" x14ac:dyDescent="0.5">
      <c r="A28" s="5"/>
      <c r="B28" s="25"/>
      <c r="C28" s="11"/>
      <c r="D28" s="8"/>
      <c r="E28" s="207"/>
      <c r="F28" s="210"/>
    </row>
    <row r="29" spans="1:7" ht="25.5" customHeight="1" x14ac:dyDescent="0.5">
      <c r="A29" s="267" t="s">
        <v>26</v>
      </c>
      <c r="B29" s="268"/>
      <c r="C29" s="11"/>
      <c r="D29" s="8"/>
      <c r="E29" s="110" t="str">
        <f>IF('SELF MENÜ (5)'!E29="", "", 'SELF MENÜ (5)'!E29)</f>
        <v>KARPUZ</v>
      </c>
      <c r="F29" s="24">
        <f>IF('SELF MENÜ (5)'!F29="", "", 'SELF MENÜ (5)'!F29)</f>
        <v>22.48</v>
      </c>
    </row>
    <row r="30" spans="1:7" ht="24.75" customHeight="1" x14ac:dyDescent="0.5">
      <c r="A30" s="267"/>
      <c r="B30" s="268"/>
      <c r="C30" s="11"/>
      <c r="D30" s="8"/>
      <c r="E30" s="110" t="str">
        <f>IF('SELF MENÜ (5)'!E30="", "", 'SELF MENÜ (5)'!E30)</f>
        <v>TRİLİÇE</v>
      </c>
      <c r="F30" s="24">
        <f>IF('SELF MENÜ (5)'!F30="", "", 'SELF MENÜ (5)'!F30)</f>
        <v>31.9</v>
      </c>
    </row>
    <row r="31" spans="1:7" ht="24.75" customHeight="1" x14ac:dyDescent="0.5">
      <c r="A31" s="5" t="s">
        <v>21</v>
      </c>
      <c r="B31" s="31">
        <v>18.46</v>
      </c>
      <c r="C31" s="138"/>
      <c r="D31" s="8"/>
      <c r="E31" s="4"/>
      <c r="F31" s="18"/>
      <c r="G31" s="129"/>
    </row>
    <row r="32" spans="1:7" ht="24.75" x14ac:dyDescent="0.5">
      <c r="A32" s="5" t="s">
        <v>43</v>
      </c>
      <c r="B32" s="31">
        <v>23.82</v>
      </c>
      <c r="C32" s="138"/>
      <c r="D32" s="8"/>
      <c r="E32" s="4"/>
      <c r="F32" s="18"/>
    </row>
    <row r="33" spans="1:7" ht="24.75" x14ac:dyDescent="0.5">
      <c r="A33" s="5"/>
      <c r="B33" s="31"/>
      <c r="C33" s="138"/>
      <c r="D33" s="8"/>
      <c r="E33" s="4"/>
      <c r="F33" s="18"/>
    </row>
    <row r="34" spans="1:7" ht="24.75" x14ac:dyDescent="0.5">
      <c r="C34" s="138"/>
      <c r="D34" s="8"/>
      <c r="E34" s="4"/>
      <c r="F34" s="18"/>
    </row>
    <row r="35" spans="1:7" ht="24.75" x14ac:dyDescent="0.5">
      <c r="A35" s="5"/>
      <c r="B35" s="31"/>
      <c r="C35" s="138"/>
      <c r="D35" s="8"/>
      <c r="E35" s="4"/>
      <c r="F35" s="18"/>
    </row>
    <row r="36" spans="1:7" ht="24.75" customHeight="1" x14ac:dyDescent="0.5">
      <c r="A36" s="5"/>
      <c r="B36" s="31"/>
      <c r="C36" s="138"/>
      <c r="D36" s="8"/>
      <c r="E36" s="4"/>
      <c r="F36" s="18"/>
    </row>
    <row r="37" spans="1:7" ht="24.75" customHeight="1" x14ac:dyDescent="0.5">
      <c r="A37" s="5"/>
      <c r="B37" s="31"/>
      <c r="C37" s="138"/>
      <c r="D37" s="8"/>
      <c r="E37" s="4"/>
      <c r="F37" s="18"/>
    </row>
    <row r="38" spans="1:7" ht="24.75" x14ac:dyDescent="0.5">
      <c r="A38" s="5"/>
      <c r="B38" s="31"/>
      <c r="C38" s="138"/>
      <c r="D38" s="8"/>
      <c r="E38" s="265" t="s">
        <v>44</v>
      </c>
      <c r="F38" s="266"/>
      <c r="G38" s="6"/>
    </row>
    <row r="39" spans="1:7" ht="24.75" x14ac:dyDescent="0.5">
      <c r="A39" s="5"/>
      <c r="B39" s="31"/>
      <c r="C39" s="138"/>
      <c r="D39" s="8"/>
      <c r="E39" s="265" t="s">
        <v>45</v>
      </c>
      <c r="F39" s="266"/>
      <c r="G39" s="6"/>
    </row>
    <row r="40" spans="1:7" ht="24.75" x14ac:dyDescent="0.5">
      <c r="A40" s="5"/>
      <c r="B40" s="31"/>
      <c r="C40" s="138"/>
      <c r="D40" s="8"/>
      <c r="E40" s="265"/>
      <c r="F40" s="266"/>
      <c r="G40" s="6"/>
    </row>
    <row r="41" spans="1:7" ht="24.75" x14ac:dyDescent="0.5">
      <c r="A41" s="5"/>
      <c r="B41" s="31"/>
      <c r="C41" s="138"/>
      <c r="D41" s="8"/>
      <c r="E41" s="265"/>
      <c r="F41" s="266"/>
      <c r="G41" s="6"/>
    </row>
    <row r="42" spans="1:7" ht="24.75" x14ac:dyDescent="0.5">
      <c r="A42" s="5"/>
      <c r="B42" s="31"/>
      <c r="C42" s="138"/>
      <c r="D42" s="8"/>
      <c r="E42" s="134"/>
      <c r="F42" s="139"/>
    </row>
    <row r="43" spans="1:7" ht="24.75" x14ac:dyDescent="0.5">
      <c r="A43" s="5"/>
      <c r="B43" s="31"/>
      <c r="C43" s="138"/>
      <c r="D43" s="8"/>
      <c r="E43" s="4"/>
      <c r="F43" s="18"/>
    </row>
    <row r="44" spans="1:7" ht="24.75" x14ac:dyDescent="0.5">
      <c r="A44" s="5"/>
      <c r="B44" s="140"/>
      <c r="C44" s="138"/>
      <c r="D44" s="8"/>
      <c r="E44" s="4"/>
      <c r="F44" s="18"/>
    </row>
    <row r="45" spans="1:7" ht="24.75" x14ac:dyDescent="0.5">
      <c r="A45" s="5"/>
      <c r="B45" s="140"/>
      <c r="C45" s="138"/>
      <c r="D45" s="8"/>
      <c r="E45" s="4"/>
      <c r="F45" s="18"/>
    </row>
    <row r="46" spans="1:7" ht="24.75" x14ac:dyDescent="0.5">
      <c r="A46" s="5"/>
      <c r="B46" s="140"/>
      <c r="C46" s="138"/>
      <c r="D46" s="8"/>
      <c r="E46" s="4"/>
      <c r="F46" s="18"/>
    </row>
    <row r="47" spans="1:7" ht="25.5" thickBot="1" x14ac:dyDescent="0.55000000000000004">
      <c r="A47" s="141"/>
      <c r="B47" s="142"/>
      <c r="C47" s="143"/>
      <c r="D47" s="144"/>
      <c r="E47" s="145"/>
      <c r="F47" s="146"/>
    </row>
    <row r="48" spans="1:7" ht="24.75" x14ac:dyDescent="0.5">
      <c r="A48" s="6"/>
      <c r="B48" s="13"/>
      <c r="C48" s="8"/>
      <c r="D48" s="8"/>
      <c r="E48" s="4"/>
      <c r="F48" s="4"/>
    </row>
  </sheetData>
  <mergeCells count="15">
    <mergeCell ref="E40:F40"/>
    <mergeCell ref="E41:F41"/>
    <mergeCell ref="A18:B19"/>
    <mergeCell ref="A24:B25"/>
    <mergeCell ref="E27:F28"/>
    <mergeCell ref="A29:B30"/>
    <mergeCell ref="E38:F38"/>
    <mergeCell ref="E39:F39"/>
    <mergeCell ref="E10:F11"/>
    <mergeCell ref="A11:B12"/>
    <mergeCell ref="A1:F2"/>
    <mergeCell ref="A3:C4"/>
    <mergeCell ref="D3:F4"/>
    <mergeCell ref="A5:D5"/>
    <mergeCell ref="E5:F6"/>
  </mergeCells>
  <pageMargins left="0.25" right="0.25" top="0.75" bottom="0.75" header="0.3" footer="0.3"/>
  <pageSetup paperSize="9" scale="53" fitToHeight="0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AK48"/>
  <sheetViews>
    <sheetView topLeftCell="B1" zoomScale="25" zoomScaleNormal="25" zoomScaleSheetLayoutView="40" workbookViewId="0">
      <selection activeCell="B4" sqref="B4"/>
    </sheetView>
  </sheetViews>
  <sheetFormatPr defaultRowHeight="47.25" customHeight="1" x14ac:dyDescent="0.7"/>
  <cols>
    <col min="1" max="1" width="6.7109375" style="149" customWidth="1"/>
    <col min="2" max="2" width="169.5703125" style="168" customWidth="1"/>
    <col min="3" max="3" width="68.7109375" style="173" bestFit="1" customWidth="1"/>
    <col min="4" max="4" width="44.42578125" style="173" customWidth="1"/>
    <col min="5" max="5" width="140.28515625" style="149" customWidth="1"/>
    <col min="6" max="6" width="75.28515625" style="189" customWidth="1"/>
    <col min="7" max="16384" width="9.140625" style="149"/>
  </cols>
  <sheetData>
    <row r="1" spans="1:15" ht="46.5" customHeight="1" x14ac:dyDescent="0.7">
      <c r="A1" s="148"/>
      <c r="B1" s="269" t="s">
        <v>47</v>
      </c>
      <c r="C1" s="269"/>
      <c r="D1" s="269"/>
      <c r="E1" s="269"/>
      <c r="F1" s="270"/>
    </row>
    <row r="2" spans="1:15" ht="46.5" customHeight="1" x14ac:dyDescent="0.7">
      <c r="A2" s="150"/>
      <c r="B2" s="271" t="s">
        <v>48</v>
      </c>
      <c r="C2" s="271"/>
      <c r="D2" s="271"/>
      <c r="E2" s="271"/>
      <c r="F2" s="272"/>
    </row>
    <row r="3" spans="1:15" s="151" customFormat="1" ht="55.5" x14ac:dyDescent="0.25">
      <c r="B3" s="279">
        <v>45838</v>
      </c>
      <c r="C3" s="279"/>
      <c r="D3" s="279"/>
      <c r="E3" s="279"/>
      <c r="F3" s="279"/>
      <c r="G3" s="152"/>
    </row>
    <row r="4" spans="1:15" ht="33" customHeight="1" x14ac:dyDescent="0.7">
      <c r="B4" s="153"/>
      <c r="C4" s="153"/>
      <c r="D4" s="153"/>
      <c r="E4" s="153"/>
      <c r="F4" s="154"/>
    </row>
    <row r="5" spans="1:15" s="155" customFormat="1" ht="63.75" customHeight="1" x14ac:dyDescent="0.85">
      <c r="A5" s="150"/>
      <c r="B5" s="273" t="s">
        <v>49</v>
      </c>
      <c r="C5" s="273"/>
      <c r="D5" s="274" t="s">
        <v>50</v>
      </c>
      <c r="E5" s="273" t="s">
        <v>1</v>
      </c>
      <c r="F5" s="276"/>
    </row>
    <row r="6" spans="1:15" ht="46.5" customHeight="1" x14ac:dyDescent="0.7">
      <c r="A6" s="150"/>
      <c r="B6" s="156"/>
      <c r="C6" s="157"/>
      <c r="D6" s="274"/>
      <c r="E6" s="158" t="s">
        <v>12</v>
      </c>
      <c r="F6" s="159">
        <v>10.26</v>
      </c>
    </row>
    <row r="7" spans="1:15" ht="46.5" customHeight="1" x14ac:dyDescent="0.7">
      <c r="A7" s="150"/>
      <c r="B7" s="160" t="s">
        <v>51</v>
      </c>
      <c r="C7" s="160">
        <v>56.15</v>
      </c>
      <c r="D7" s="274"/>
      <c r="E7" s="158" t="s">
        <v>15</v>
      </c>
      <c r="F7" s="159">
        <v>30.47</v>
      </c>
      <c r="M7" s="161"/>
    </row>
    <row r="8" spans="1:15" ht="46.5" customHeight="1" x14ac:dyDescent="0.7">
      <c r="A8" s="150"/>
      <c r="B8" s="160"/>
      <c r="C8" s="160"/>
      <c r="D8" s="274"/>
      <c r="E8" s="158" t="s">
        <v>10</v>
      </c>
      <c r="F8" s="159">
        <v>22.9</v>
      </c>
    </row>
    <row r="9" spans="1:15" ht="46.5" customHeight="1" x14ac:dyDescent="0.7">
      <c r="A9" s="150"/>
      <c r="B9" s="160" t="s">
        <v>52</v>
      </c>
      <c r="C9" s="160">
        <v>62.48</v>
      </c>
      <c r="D9" s="274"/>
      <c r="E9" s="158" t="s">
        <v>14</v>
      </c>
      <c r="F9" s="159">
        <v>22.9</v>
      </c>
      <c r="O9" s="162"/>
    </row>
    <row r="10" spans="1:15" ht="46.5" customHeight="1" x14ac:dyDescent="0.7">
      <c r="A10" s="150"/>
      <c r="B10" s="160"/>
      <c r="C10" s="160"/>
      <c r="D10" s="274"/>
      <c r="E10" s="158" t="s">
        <v>11</v>
      </c>
      <c r="F10" s="159">
        <v>22.9</v>
      </c>
    </row>
    <row r="11" spans="1:15" ht="46.5" customHeight="1" x14ac:dyDescent="0.7">
      <c r="A11" s="150"/>
      <c r="B11" s="160" t="s">
        <v>53</v>
      </c>
      <c r="C11" s="160">
        <v>98.92</v>
      </c>
      <c r="D11" s="274"/>
      <c r="E11" s="158" t="s">
        <v>13</v>
      </c>
      <c r="F11" s="159">
        <v>22.9</v>
      </c>
    </row>
    <row r="12" spans="1:15" ht="46.5" customHeight="1" x14ac:dyDescent="0.7">
      <c r="A12" s="150"/>
      <c r="B12" s="160"/>
      <c r="C12" s="160"/>
      <c r="D12" s="274"/>
      <c r="E12" s="158" t="s">
        <v>16</v>
      </c>
      <c r="F12" s="163">
        <v>30.47</v>
      </c>
    </row>
    <row r="13" spans="1:15" ht="46.5" customHeight="1" x14ac:dyDescent="0.7">
      <c r="A13" s="150"/>
      <c r="B13" s="160" t="s">
        <v>54</v>
      </c>
      <c r="C13" s="160">
        <v>105.26</v>
      </c>
      <c r="D13" s="274"/>
      <c r="E13" s="158" t="s">
        <v>17</v>
      </c>
      <c r="F13" s="159">
        <v>10.95</v>
      </c>
    </row>
    <row r="14" spans="1:15" ht="46.5" customHeight="1" x14ac:dyDescent="0.7">
      <c r="A14" s="150"/>
      <c r="B14" s="160"/>
      <c r="C14" s="160"/>
      <c r="D14" s="274"/>
      <c r="E14" s="158" t="s">
        <v>73</v>
      </c>
      <c r="F14" s="163">
        <v>8.36</v>
      </c>
    </row>
    <row r="15" spans="1:15" ht="46.5" customHeight="1" x14ac:dyDescent="0.7">
      <c r="A15" s="150"/>
      <c r="B15" s="160" t="s">
        <v>55</v>
      </c>
      <c r="C15" s="160">
        <v>115.8</v>
      </c>
      <c r="D15" s="274"/>
      <c r="E15" s="158" t="s">
        <v>19</v>
      </c>
      <c r="F15" s="163">
        <v>14.28</v>
      </c>
    </row>
    <row r="16" spans="1:15" ht="46.5" customHeight="1" x14ac:dyDescent="0.7">
      <c r="A16" s="150"/>
      <c r="B16" s="160"/>
      <c r="C16" s="160"/>
      <c r="D16" s="274"/>
      <c r="E16" s="158" t="s">
        <v>56</v>
      </c>
      <c r="F16" s="159">
        <v>4.13</v>
      </c>
    </row>
    <row r="17" spans="1:37" ht="46.5" customHeight="1" x14ac:dyDescent="0.7">
      <c r="A17" s="150"/>
      <c r="B17" s="160" t="s">
        <v>57</v>
      </c>
      <c r="C17" s="160">
        <v>133.87</v>
      </c>
      <c r="D17" s="274"/>
      <c r="E17" s="158"/>
      <c r="F17" s="159"/>
    </row>
    <row r="18" spans="1:37" ht="46.5" customHeight="1" x14ac:dyDescent="0.7">
      <c r="A18" s="150"/>
      <c r="B18" s="160"/>
      <c r="C18" s="160"/>
      <c r="D18" s="274"/>
      <c r="E18" s="158"/>
      <c r="F18" s="159"/>
    </row>
    <row r="19" spans="1:37" ht="46.5" customHeight="1" x14ac:dyDescent="0.7">
      <c r="A19" s="150"/>
      <c r="B19" s="160" t="s">
        <v>58</v>
      </c>
      <c r="C19" s="160">
        <v>80.849999999999994</v>
      </c>
      <c r="D19" s="274"/>
      <c r="E19" s="158"/>
      <c r="F19" s="159"/>
    </row>
    <row r="20" spans="1:37" ht="46.5" customHeight="1" x14ac:dyDescent="0.7">
      <c r="A20" s="150"/>
      <c r="B20" s="160"/>
      <c r="C20" s="160"/>
      <c r="D20" s="274"/>
      <c r="E20" s="158"/>
      <c r="F20" s="159"/>
    </row>
    <row r="21" spans="1:37" ht="61.5" customHeight="1" x14ac:dyDescent="0.7">
      <c r="A21" s="150"/>
      <c r="B21" s="160" t="s">
        <v>59</v>
      </c>
      <c r="C21" s="160">
        <v>87.19</v>
      </c>
      <c r="D21" s="274"/>
      <c r="E21" s="273" t="s">
        <v>22</v>
      </c>
      <c r="F21" s="276"/>
    </row>
    <row r="22" spans="1:37" ht="46.5" customHeight="1" x14ac:dyDescent="0.7">
      <c r="A22" s="150"/>
      <c r="B22" s="160"/>
      <c r="C22" s="160" t="s">
        <v>0</v>
      </c>
      <c r="D22" s="274"/>
      <c r="E22" s="158" t="str">
        <f>'SELF MENÜ (5)'!A26</f>
        <v>MEVSİM SALATA</v>
      </c>
      <c r="F22" s="165">
        <f>'SELF MENÜ (5)'!B26</f>
        <v>27.19</v>
      </c>
      <c r="G22" s="150"/>
    </row>
    <row r="23" spans="1:37" ht="46.5" customHeight="1" x14ac:dyDescent="0.7">
      <c r="A23" s="150"/>
      <c r="B23" s="166" t="s">
        <v>60</v>
      </c>
      <c r="C23" s="160">
        <v>84.07</v>
      </c>
      <c r="D23" s="274"/>
      <c r="E23" s="164"/>
      <c r="F23" s="167"/>
    </row>
    <row r="24" spans="1:37" ht="46.5" customHeight="1" x14ac:dyDescent="0.7">
      <c r="A24" s="150"/>
      <c r="C24" s="160"/>
      <c r="D24" s="274"/>
      <c r="E24" s="164"/>
      <c r="F24" s="167"/>
    </row>
    <row r="25" spans="1:37" ht="58.5" customHeight="1" x14ac:dyDescent="0.7">
      <c r="A25" s="150"/>
      <c r="B25" s="166" t="s">
        <v>61</v>
      </c>
      <c r="C25" s="160">
        <v>59.8</v>
      </c>
      <c r="D25" s="274"/>
      <c r="E25" s="158"/>
      <c r="F25" s="169"/>
    </row>
    <row r="26" spans="1:37" ht="46.5" customHeight="1" x14ac:dyDescent="1.05">
      <c r="A26" s="170"/>
      <c r="B26" s="171"/>
      <c r="C26" s="172"/>
      <c r="D26" s="274"/>
      <c r="E26" s="277" t="s">
        <v>62</v>
      </c>
      <c r="F26" s="278"/>
    </row>
    <row r="27" spans="1:37" ht="42" customHeight="1" x14ac:dyDescent="0.7">
      <c r="A27" s="150"/>
      <c r="B27" s="166" t="s">
        <v>63</v>
      </c>
      <c r="C27" s="160">
        <v>21.37</v>
      </c>
      <c r="D27" s="274"/>
      <c r="E27" s="277"/>
      <c r="F27" s="278"/>
    </row>
    <row r="28" spans="1:37" ht="46.5" hidden="1" customHeight="1" x14ac:dyDescent="0.7">
      <c r="A28" s="150"/>
      <c r="D28" s="274"/>
      <c r="E28" s="277"/>
      <c r="F28" s="278"/>
    </row>
    <row r="29" spans="1:37" ht="46.5" customHeight="1" x14ac:dyDescent="0.7">
      <c r="A29" s="150"/>
      <c r="B29" s="166"/>
      <c r="C29" s="160"/>
      <c r="D29" s="274"/>
      <c r="E29" s="277"/>
      <c r="F29" s="278"/>
    </row>
    <row r="30" spans="1:37" ht="46.5" customHeight="1" x14ac:dyDescent="0.7">
      <c r="A30" s="150"/>
      <c r="B30" s="166" t="s">
        <v>64</v>
      </c>
      <c r="C30" s="160">
        <v>28.76</v>
      </c>
      <c r="D30" s="274"/>
      <c r="E30" s="277"/>
      <c r="F30" s="278"/>
      <c r="J30" s="174"/>
    </row>
    <row r="31" spans="1:37" ht="97.5" customHeight="1" x14ac:dyDescent="0.7">
      <c r="A31" s="150"/>
      <c r="D31" s="274"/>
      <c r="E31" s="277"/>
      <c r="F31" s="278"/>
      <c r="AK31" s="175"/>
    </row>
    <row r="32" spans="1:37" ht="85.5" customHeight="1" x14ac:dyDescent="0.7">
      <c r="A32" s="150"/>
      <c r="D32" s="274"/>
      <c r="E32" s="277"/>
      <c r="F32" s="278"/>
    </row>
    <row r="33" spans="1:8" ht="88.5" customHeight="1" x14ac:dyDescent="0.7">
      <c r="A33" s="150"/>
      <c r="D33" s="274"/>
      <c r="E33" s="277"/>
      <c r="F33" s="278"/>
    </row>
    <row r="34" spans="1:8" ht="42.75" customHeight="1" x14ac:dyDescent="0.7">
      <c r="A34" s="150"/>
      <c r="B34" s="176"/>
      <c r="C34" s="177"/>
      <c r="D34" s="274"/>
      <c r="E34" s="277"/>
      <c r="F34" s="278"/>
    </row>
    <row r="35" spans="1:8" ht="42.75" customHeight="1" thickBot="1" x14ac:dyDescent="0.75">
      <c r="A35" s="178"/>
      <c r="B35" s="179"/>
      <c r="C35" s="180"/>
      <c r="D35" s="275"/>
      <c r="E35" s="181"/>
      <c r="F35" s="182"/>
    </row>
    <row r="36" spans="1:8" ht="38.25" customHeight="1" x14ac:dyDescent="1.05">
      <c r="A36" s="150"/>
      <c r="B36" s="183"/>
      <c r="C36" s="184"/>
      <c r="D36" s="185"/>
      <c r="E36" s="186"/>
      <c r="F36" s="174"/>
      <c r="G36" s="174"/>
    </row>
    <row r="37" spans="1:8" ht="42.75" customHeight="1" x14ac:dyDescent="0.7">
      <c r="A37" s="174"/>
      <c r="D37" s="185"/>
      <c r="E37" s="174"/>
      <c r="F37" s="174"/>
      <c r="G37" s="174"/>
    </row>
    <row r="38" spans="1:8" ht="71.25" customHeight="1" x14ac:dyDescent="0.7">
      <c r="A38" s="174"/>
      <c r="D38" s="185"/>
      <c r="E38" s="174"/>
      <c r="F38" s="174"/>
      <c r="G38" s="174"/>
    </row>
    <row r="39" spans="1:8" ht="42.75" customHeight="1" x14ac:dyDescent="0.7">
      <c r="A39" s="174"/>
      <c r="D39" s="187"/>
      <c r="E39" s="174"/>
      <c r="F39" s="188"/>
      <c r="G39" s="174"/>
      <c r="H39" s="174"/>
    </row>
    <row r="40" spans="1:8" ht="42.75" customHeight="1" x14ac:dyDescent="0.7">
      <c r="A40" s="174"/>
      <c r="D40" s="187"/>
      <c r="F40" s="174"/>
      <c r="G40" s="174"/>
    </row>
    <row r="41" spans="1:8" ht="42.75" customHeight="1" x14ac:dyDescent="0.7">
      <c r="D41" s="187"/>
      <c r="E41" s="174"/>
      <c r="F41" s="188"/>
      <c r="G41" s="174"/>
    </row>
    <row r="42" spans="1:8" ht="42.75" customHeight="1" x14ac:dyDescent="0.7">
      <c r="D42" s="187"/>
      <c r="E42" s="174"/>
      <c r="F42" s="188"/>
    </row>
    <row r="43" spans="1:8" ht="42.75" customHeight="1" x14ac:dyDescent="0.7">
      <c r="D43" s="187"/>
      <c r="E43" s="174"/>
      <c r="F43" s="188"/>
    </row>
    <row r="44" spans="1:8" ht="47.25" customHeight="1" x14ac:dyDescent="0.7">
      <c r="E44" s="174"/>
      <c r="F44" s="174"/>
    </row>
    <row r="45" spans="1:8" ht="47.25" customHeight="1" x14ac:dyDescent="0.7">
      <c r="E45" s="174"/>
      <c r="F45" s="188"/>
    </row>
    <row r="46" spans="1:8" ht="47.25" customHeight="1" x14ac:dyDescent="0.7">
      <c r="E46" s="174"/>
    </row>
    <row r="47" spans="1:8" ht="47.25" customHeight="1" x14ac:dyDescent="0.7">
      <c r="E47" s="174"/>
    </row>
    <row r="48" spans="1:8" ht="47.25" customHeight="1" x14ac:dyDescent="0.7">
      <c r="E48" s="174"/>
    </row>
  </sheetData>
  <mergeCells count="8">
    <mergeCell ref="B1:F1"/>
    <mergeCell ref="B2:F2"/>
    <mergeCell ref="B5:C5"/>
    <mergeCell ref="D5:D35"/>
    <mergeCell ref="E5:F5"/>
    <mergeCell ref="E21:F21"/>
    <mergeCell ref="E26:F34"/>
    <mergeCell ref="B3:F3"/>
  </mergeCells>
  <pageMargins left="1.1811023622047245" right="0.23622047244094491" top="0.74803149606299213" bottom="0.74803149606299213" header="0.31496062992125984" footer="0.31496062992125984"/>
  <pageSetup paperSize="9" scale="2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4</vt:i4>
      </vt:variant>
    </vt:vector>
  </HeadingPairs>
  <TitlesOfParts>
    <vt:vector size="12" baseType="lpstr">
      <vt:lpstr>SELF MENÜ (5)</vt:lpstr>
      <vt:lpstr>ALAKART DİKEY (2)</vt:lpstr>
      <vt:lpstr>ALAKART YATAY (1)</vt:lpstr>
      <vt:lpstr>YEMEK ETİKET (1)</vt:lpstr>
      <vt:lpstr>MEZELER (3)</vt:lpstr>
      <vt:lpstr>İÇECEKLER (1)</vt:lpstr>
      <vt:lpstr>DEKANLIK MENÜ (1)</vt:lpstr>
      <vt:lpstr>PİDE SELF (3)</vt:lpstr>
      <vt:lpstr>AC</vt:lpstr>
      <vt:lpstr>'PİDE SELF (3)'!Yazdırma_Alanı</vt:lpstr>
      <vt:lpstr>'SELF MENÜ (5)'!Yazdırma_Alanı</vt:lpstr>
      <vt:lpstr>'YEMEK ETİKET (1)'!Yazdırma_Alanı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2025-07-06T08:48:55Z</dcterms:modified>
</cp:coreProperties>
</file>